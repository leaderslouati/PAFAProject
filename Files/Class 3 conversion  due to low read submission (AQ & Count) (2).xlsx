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2" documentId="8_{59F34D19-067D-49C9-A614-00B31D3ED53F}" xr6:coauthVersionLast="47" xr6:coauthVersionMax="47" xr10:uidLastSave="{89618692-91C9-4C94-8811-7B625CC406C3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191028"/>
  <pivotCaches>
    <pivotCache cacheId="22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<sst xmlns="http://schemas.openxmlformats.org/spreadsheetml/2006/main" count="41" uniqueCount="19">
  <si>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Year/Month</t>
  </si>
  <si>
    <t>SRVC_PRVDR_CD</t>
  </si>
  <si>
    <t>Reclassified MPRN Count</t>
  </si>
  <si>
    <t>Reclassified Rolling AQ</t>
  </si>
  <si>
    <t>2026/03</t>
  </si>
  <si>
    <t>OET</t>
  </si>
  <si>
    <t>SHE</t>
  </si>
  <si>
    <t>SLD</t>
  </si>
  <si>
    <t>HUD</t>
  </si>
  <si>
    <t>HEP</t>
  </si>
  <si>
    <t>BUS</t>
  </si>
  <si>
    <t>GLC</t>
  </si>
  <si>
    <t>CGP</t>
  </si>
  <si>
    <t>KAL</t>
  </si>
  <si>
    <t>BRK</t>
  </si>
  <si>
    <t>Data</t>
  </si>
  <si>
    <t>Sum of Reclassified MPRN Count</t>
  </si>
  <si>
    <t>Sum of Reclassified Rolling AQ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</si>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</sst>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3" fontId="0" fillId="0" borderId="1" xfId="0" applyNumberFormat="1" applyBorder="1"/>
    <xf numFmtId="3" fontId="0" fillId="0" borderId="4" xfId="0" applyNumberFormat="1" applyBorder="1"/>
    <xf numFmtId="0" fontId="0" fillId="0" borderId="5" xfId="0" applyBorder="1"/>
    <xf numFmtId="3" fontId="0" fillId="0" borderId="5" xfId="0" applyNumberFormat="1" applyBorder="1"/>
    <xf numFmtId="3" fontId="0" fillId="0" borderId="6" xfId="0" applyNumberFormat="1" applyBorder="1"/>
    <xf numFmtId="0" fontId="0" fillId="0" borderId="7" xfId="0" applyBorder="1"/>
    <xf numFmtId="3" fontId="0" fillId="0" borderId="7" xfId="0" applyNumberFormat="1" applyBorder="1"/>
    <xf numFmtId="3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54.717412268517" createdVersion="3" refreshedVersion="8" recordCount="10" xr:uid="{00000000-000A-0000-FFFF-FFFF01000000}">
  <cacheSource type="worksheet">
    <worksheetSource ref="A1:D11" sheet="Data"/>
  </cacheSource>
  <cacheFields count="4">
    <cacheField name="Year/Month" numFmtId="0">
      <sharedItems count="1">
        <s v="2026/03"/>
      </sharedItems>
    </cacheField>
    <cacheField name="SRVC_PRVDR_CD" numFmtId="0">
      <sharedItems count="10">
        <s v="OET"/>
        <s v="SHE"/>
        <s v="SLD"/>
        <s v="HUD"/>
        <s v="HEP"/>
        <s v="BUS"/>
        <s v="GLC"/>
        <s v="CGP"/>
        <s v="KAL"/>
        <s v="BRK"/>
      </sharedItems>
    </cacheField>
    <cacheField name="Reclassified MPRN Count" numFmtId="3">
      <sharedItems containsSemiMixedTypes="0" containsString="0" containsNumber="1" containsInteger="1" minValue="5" maxValue="3622"/>
    </cacheField>
    <cacheField name="Reclassified Rolling AQ" numFmtId="3">
      <sharedItems containsSemiMixedTypes="0" containsString="0" containsNumber="1" containsInteger="1" minValue="1945264" maxValue="525104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23"/>
    <n v="3087829"/>
  </r>
  <r>
    <x v="0"/>
    <x v="1"/>
    <n v="3622"/>
    <n v="525104596"/>
  </r>
  <r>
    <x v="0"/>
    <x v="2"/>
    <n v="73"/>
    <n v="1981276"/>
  </r>
  <r>
    <x v="0"/>
    <x v="3"/>
    <n v="13"/>
    <n v="1945264"/>
  </r>
  <r>
    <x v="0"/>
    <x v="4"/>
    <n v="5"/>
    <n v="46821129"/>
  </r>
  <r>
    <x v="0"/>
    <x v="5"/>
    <n v="1010"/>
    <n v="225024063"/>
  </r>
  <r>
    <x v="0"/>
    <x v="6"/>
    <n v="110"/>
    <n v="27363023"/>
  </r>
  <r>
    <x v="0"/>
    <x v="7"/>
    <n v="354"/>
    <n v="39069792"/>
  </r>
  <r>
    <x v="0"/>
    <x v="8"/>
    <n v="262"/>
    <n v="31528983"/>
  </r>
  <r>
    <x v="0"/>
    <x v="9"/>
    <n v="14"/>
    <n v="131831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Class 3 conversion  due to low read submission (AQ &amp; Count)-PivotTable" cacheId="2229" applyNumberFormats="0" applyBorderFormats="0" applyFontFormats="0" applyPatternFormats="0" applyAlignmentFormats="0" applyWidthHeightFormats="1" dataCaption="Data" updatedVersion="8" useAutoFormatting="1" colGrandTotals="0" itemPrintTitles="1" createdVersion="4" compact="0" compactData="0" rowHeaderCaption="SRVC_PRVDR_CD" colHeaderCaption="Year/Month">
  <location ref="B2:D15" firstHeaderRow="1" firstDataRow="3" firstDataCol="1"/>
  <pivotFields count="4">
    <pivotField axis="axisCol" compact="0" outline="0" subtotalTop="0" showAll="0" sortType="ascending" defaultSubtotal="0">
      <items count="1">
        <item x="0"/>
      </items>
    </pivotField>
    <pivotField axis="axisRow" compact="0" outline="0" subtotalTop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/>
    <pivotField dataField="1" compact="0" outline="0" subtotalTop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0"/>
    <field x="-2"/>
  </colFields>
  <colItems count="2">
    <i>
      <x/>
      <x/>
    </i>
    <i r="1" i="1">
      <x v="1"/>
    </i>
  </colItems>
  <dataFields count="2">
    <dataField name="Sum of Reclassified MPRN Count" fld="2" baseField="0" baseItem="0" numFmtId="3"/>
    <dataField name="Sum of Reclassified Rolling AQ" fld="3" baseField="0" baseItem="0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14B0-CCBA-4F47-BF34-7557C00EAAEC}">
  <dimension ref="A1:D11"/>
  <sheetViews>
    <sheetView tabSelected="1" workbookViewId="0"/>
  </sheetViews>
  <sheetFormatPr defaultRowHeight="12.6"/>
  <cols>
    <col min="3" max="3" width="9.140625" style="1"/>
    <col min="4" max="4" width="19.5703125" style="1" bestFit="1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1">
        <v>23</v>
      </c>
      <c r="D2" s="1">
        <v>3087829</v>
      </c>
    </row>
    <row r="3" spans="1:4">
      <c r="A3" t="s">
        <v>4</v>
      </c>
      <c r="B3" t="s">
        <v>6</v>
      </c>
      <c r="C3" s="1">
        <v>3622</v>
      </c>
      <c r="D3" s="1">
        <v>525104596</v>
      </c>
    </row>
    <row r="4" spans="1:4">
      <c r="A4" t="s">
        <v>4</v>
      </c>
      <c r="B4" t="s">
        <v>7</v>
      </c>
      <c r="C4" s="1">
        <v>73</v>
      </c>
      <c r="D4" s="1">
        <v>1981276</v>
      </c>
    </row>
    <row r="5" spans="1:4">
      <c r="A5" t="s">
        <v>4</v>
      </c>
      <c r="B5" t="s">
        <v>8</v>
      </c>
      <c r="C5" s="1">
        <v>13</v>
      </c>
      <c r="D5" s="1">
        <v>1945264</v>
      </c>
    </row>
    <row r="6" spans="1:4">
      <c r="A6" t="s">
        <v>4</v>
      </c>
      <c r="B6" t="s">
        <v>9</v>
      </c>
      <c r="C6" s="1">
        <v>5</v>
      </c>
      <c r="D6" s="1">
        <v>46821129</v>
      </c>
    </row>
    <row r="7" spans="1:4">
      <c r="A7" t="s">
        <v>4</v>
      </c>
      <c r="B7" t="s">
        <v>10</v>
      </c>
      <c r="C7" s="1">
        <v>1010</v>
      </c>
      <c r="D7" s="1">
        <v>225024063</v>
      </c>
    </row>
    <row r="8" spans="1:4">
      <c r="A8" t="s">
        <v>4</v>
      </c>
      <c r="B8" t="s">
        <v>11</v>
      </c>
      <c r="C8" s="1">
        <v>110</v>
      </c>
      <c r="D8" s="1">
        <v>27363023</v>
      </c>
    </row>
    <row r="9" spans="1:4">
      <c r="A9" t="s">
        <v>4</v>
      </c>
      <c r="B9" t="s">
        <v>12</v>
      </c>
      <c r="C9" s="1">
        <v>354</v>
      </c>
      <c r="D9" s="1">
        <v>39069792</v>
      </c>
    </row>
    <row r="10" spans="1:4">
      <c r="A10" t="s">
        <v>4</v>
      </c>
      <c r="B10" t="s">
        <v>13</v>
      </c>
      <c r="C10" s="1">
        <v>262</v>
      </c>
      <c r="D10" s="1">
        <v>31528983</v>
      </c>
    </row>
    <row r="11" spans="1:4">
      <c r="A11" t="s">
        <v>4</v>
      </c>
      <c r="B11" t="s">
        <v>14</v>
      </c>
      <c r="C11" s="1">
        <v>14</v>
      </c>
      <c r="D11" s="1">
        <v>13183148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9193-EA25-419F-8AB4-69815E9EB5E0}">
  <dimension ref="B2:D15"/>
  <sheetViews>
    <sheetView workbookViewId="0"/>
  </sheetViews>
  <sheetFormatPr defaultRowHeight="12.6"/>
  <cols>
    <col min="2" max="2" width="20.5703125" bestFit="1" customWidth="1"/>
    <col min="3" max="3" width="29.5703125" bestFit="1" customWidth="1"/>
    <col min="4" max="4" width="27.5703125" bestFit="1" customWidth="1"/>
  </cols>
  <sheetData>
    <row r="2" spans="2:4">
      <c r="B2" s="2"/>
      <c r="C2" s="3" t="s">
        <v>0</v>
      </c>
      <c r="D2" s="4" t="s">
        <v>15</v>
      </c>
    </row>
    <row r="3" spans="2:4">
      <c r="B3" s="5"/>
      <c r="C3" s="2" t="s">
        <v>4</v>
      </c>
      <c r="D3" s="6"/>
    </row>
    <row r="4" spans="2:4">
      <c r="B4" s="3" t="s">
        <v>1</v>
      </c>
      <c r="C4" s="2" t="s">
        <v>16</v>
      </c>
      <c r="D4" s="7" t="s">
        <v>17</v>
      </c>
    </row>
    <row r="5" spans="2:4">
      <c r="B5" s="2" t="s">
        <v>5</v>
      </c>
      <c r="C5" s="8">
        <v>23</v>
      </c>
      <c r="D5" s="9">
        <v>3087829</v>
      </c>
    </row>
    <row r="6" spans="2:4">
      <c r="B6" s="10" t="s">
        <v>6</v>
      </c>
      <c r="C6" s="11">
        <v>3622</v>
      </c>
      <c r="D6" s="12">
        <v>525104596</v>
      </c>
    </row>
    <row r="7" spans="2:4">
      <c r="B7" s="10" t="s">
        <v>7</v>
      </c>
      <c r="C7" s="11">
        <v>73</v>
      </c>
      <c r="D7" s="12">
        <v>1981276</v>
      </c>
    </row>
    <row r="8" spans="2:4">
      <c r="B8" s="10" t="s">
        <v>8</v>
      </c>
      <c r="C8" s="11">
        <v>13</v>
      </c>
      <c r="D8" s="12">
        <v>1945264</v>
      </c>
    </row>
    <row r="9" spans="2:4">
      <c r="B9" s="10" t="s">
        <v>9</v>
      </c>
      <c r="C9" s="11">
        <v>5</v>
      </c>
      <c r="D9" s="12">
        <v>46821129</v>
      </c>
    </row>
    <row r="10" spans="2:4">
      <c r="B10" s="10" t="s">
        <v>10</v>
      </c>
      <c r="C10" s="11">
        <v>1010</v>
      </c>
      <c r="D10" s="12">
        <v>225024063</v>
      </c>
    </row>
    <row r="11" spans="2:4">
      <c r="B11" s="10" t="s">
        <v>11</v>
      </c>
      <c r="C11" s="11">
        <v>110</v>
      </c>
      <c r="D11" s="12">
        <v>27363023</v>
      </c>
    </row>
    <row r="12" spans="2:4">
      <c r="B12" s="10" t="s">
        <v>12</v>
      </c>
      <c r="C12" s="11">
        <v>354</v>
      </c>
      <c r="D12" s="12">
        <v>39069792</v>
      </c>
    </row>
    <row r="13" spans="2:4">
      <c r="B13" s="10" t="s">
        <v>13</v>
      </c>
      <c r="C13" s="11">
        <v>262</v>
      </c>
      <c r="D13" s="12">
        <v>31528983</v>
      </c>
    </row>
    <row r="14" spans="2:4">
      <c r="B14" s="10" t="s">
        <v>14</v>
      </c>
      <c r="C14" s="11">
        <v>14</v>
      </c>
      <c r="D14" s="12">
        <v>13183148</v>
      </c>
    </row>
    <row r="15" spans="2:4">
      <c r="B15" s="13" t="s">
        <v>18</v>
      </c>
      <c r="C15" s="14">
        <v>5486</v>
      </c>
      <c r="D15" s="15">
        <v>915109103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04929-3418-4010-BB62-E87B570C2E62}"/>
</file>

<file path=customXml/itemProps2.xml><?xml version="1.0" encoding="utf-8"?>
<ds:datastoreItem xmlns:ds="http://schemas.openxmlformats.org/officeDocument/2006/customXml" ds:itemID="{9C568842-9F3B-4C72-A12A-8DEC0E38AFB6}"/>
</file>

<file path=customXml/itemProps3.xml><?xml version="1.0" encoding="utf-8"?>
<ds:datastoreItem xmlns:ds="http://schemas.openxmlformats.org/officeDocument/2006/customXml" ds:itemID="{B4B6E96D-2151-4C3C-9A03-2E0BDE3EB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Hibat Allah LOUATTI</cp:lastModifiedBy>
  <cp:revision/>
  <dcterms:created xsi:type="dcterms:W3CDTF">2026-05-07T13:57:46Z</dcterms:created>
  <dcterms:modified xsi:type="dcterms:W3CDTF">2026-05-12T16:15:32Z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