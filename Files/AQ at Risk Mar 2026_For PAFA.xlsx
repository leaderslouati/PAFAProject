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43" documentId="8_{8E422754-EB21-4F5C-A7A5-D96C7F1C9B83}" xr6:coauthVersionLast="47" xr6:coauthVersionMax="47" xr10:uidLastSave="{3A792CC3-490A-4570-A9D0-F52CEAF833BB}"/>
  <bookViews>
    <workbookView xWindow="-110" yWindow="-110" windowWidth="19420" windowHeight="11500" xr2:uid="{8611A142-510E-49EE-985D-91CD4B51B7B6}"/>
  </bookViews>
  <sheets>
    <sheet name="AQ At Risk GWh PAFA" sheetId="1" r:id="rId1"/>
    <sheet name="Percentage Overdue PAFA" sheetId="2" r:id="rId2"/>
  </sheets>
  <definedNames>
    <definedName name="_xlnm._FilterDatabase" localSheetId="0" hidden="1">'AQ At Risk GWh PAFA'!$A$1:$H$63</definedName>
    <definedName name="_xlnm._FilterDatabase" localSheetId="1" hidden="1">'Percentage Overdue PAFA'!$A$1:$H$63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2" l="1"/>
  <c r="G65" i="2"/>
  <c r="F65" i="2"/>
  <c r="E65" i="2"/>
  <c r="D65" i="2"/>
  <c r="C65" i="2"/>
  <c r="B65" i="2"/>
  <c r="G65" i="1"/>
  <c r="G66" i="2" s="1"/>
  <c r="F65" i="1"/>
  <c r="F66" i="2" s="1"/>
  <c r="E65" i="1"/>
  <c r="E66" i="2" s="1"/>
  <c r="D65" i="1"/>
  <c r="D66" i="2" s="1"/>
  <c r="C65" i="1"/>
  <c r="C66" i="2" s="1"/>
  <c r="B65" i="1"/>
  <c r="B66" i="2" s="1"/>
  <c r="G63" i="1"/>
  <c r="F63" i="1"/>
  <c r="E63" i="1"/>
  <c r="D63" i="1"/>
  <c r="C63" i="1"/>
  <c r="B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65" i="1" l="1"/>
  <c r="H66" i="2" s="1"/>
  <c r="H63" i="1"/>
</calcChain>
</file>

<file path=xl/sharedStrings.xml><?xml version="1.0" encoding="utf-8"?>
<sst xmlns="http://schemas.openxmlformats.org/spreadsheetml/2006/main" count="453" uniqueCount="73">
  <si>
    <t>GWh</t>
  </si>
  <si>
    <t>Class 1</t>
  </si>
  <si>
    <t>Class 2</t>
  </si>
  <si>
    <t>Class 3</t>
  </si>
  <si>
    <t>Class 4 &gt;= 293,000</t>
  </si>
  <si>
    <t>Class 4 Smart Monthly</t>
  </si>
  <si>
    <t>Class 4 Annual</t>
  </si>
  <si>
    <t>Total</t>
  </si>
  <si>
    <t>ACS</t>
  </si>
  <si>
    <t>-</t>
  </si>
  <si>
    <t>AGA</t>
  </si>
  <si>
    <t>APE</t>
  </si>
  <si>
    <t>BNG</t>
  </si>
  <si>
    <t>BRK</t>
  </si>
  <si>
    <t>BSH</t>
  </si>
  <si>
    <t>BUE</t>
  </si>
  <si>
    <t>BUS</t>
  </si>
  <si>
    <t>CGP</t>
  </si>
  <si>
    <t>CIL</t>
  </si>
  <si>
    <t>COU</t>
  </si>
  <si>
    <t>CRE</t>
  </si>
  <si>
    <t>DRA</t>
  </si>
  <si>
    <t>DUA</t>
  </si>
  <si>
    <t>ECG</t>
  </si>
  <si>
    <t>EGD</t>
  </si>
  <si>
    <t>EUK</t>
  </si>
  <si>
    <t>FLX</t>
  </si>
  <si>
    <t>FOX</t>
  </si>
  <si>
    <t>FUE</t>
  </si>
  <si>
    <t>GGS</t>
  </si>
  <si>
    <t>GLC</t>
  </si>
  <si>
    <t>GRN</t>
  </si>
  <si>
    <t>HBL</t>
  </si>
  <si>
    <t>HEP</t>
  </si>
  <si>
    <t>HET</t>
  </si>
  <si>
    <t>HUD</t>
  </si>
  <si>
    <t>IEO</t>
  </si>
  <si>
    <t>KAL</t>
  </si>
  <si>
    <t>LEP</t>
  </si>
  <si>
    <t>MOG</t>
  </si>
  <si>
    <t>MRB</t>
  </si>
  <si>
    <t>NGD</t>
  </si>
  <si>
    <t>NGS</t>
  </si>
  <si>
    <t>OCG</t>
  </si>
  <si>
    <t>OET</t>
  </si>
  <si>
    <t>OSS</t>
  </si>
  <si>
    <t>OVG</t>
  </si>
  <si>
    <t>POW</t>
  </si>
  <si>
    <t>PSL</t>
  </si>
  <si>
    <t>PZT</t>
  </si>
  <si>
    <t>QGM</t>
  </si>
  <si>
    <t>REG</t>
  </si>
  <si>
    <t>REN</t>
  </si>
  <si>
    <t>RGG</t>
  </si>
  <si>
    <t>RWE</t>
  </si>
  <si>
    <t>SBP</t>
  </si>
  <si>
    <t>SCP</t>
  </si>
  <si>
    <t>SHE</t>
  </si>
  <si>
    <t>SLD</t>
  </si>
  <si>
    <t>SMT</t>
  </si>
  <si>
    <t>SOG</t>
  </si>
  <si>
    <t>STL</t>
  </si>
  <si>
    <t>TET</t>
  </si>
  <si>
    <t>TIL</t>
  </si>
  <si>
    <t>TRM</t>
  </si>
  <si>
    <t>TRU</t>
  </si>
  <si>
    <t>VAY</t>
  </si>
  <si>
    <t>VEC</t>
  </si>
  <si>
    <t>VOL</t>
  </si>
  <si>
    <t>WGS</t>
  </si>
  <si>
    <t>count</t>
  </si>
  <si>
    <t>Shipper</t>
  </si>
  <si>
    <t>count GWh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</si>
</sst>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0" fontId="3" fillId="0" borderId="0"/>
    <xf numFmtId="0" fontId="4" fillId="0" borderId="0"/>
    <xf numFmtId="0" fontId="5" fillId="0" borderId="0"/>
  </cellStyleXfs>
  <cellXfs count="6">
    <xf numFmtId="0" fontId="0" fillId="0" borderId="0" xfId="0"/>
    <xf numFmtId="164" fontId="2" fillId="0" borderId="1" xfId="1" applyNumberFormat="1" applyFont="1" applyFill="1" applyBorder="1" applyAlignment="1">
      <alignment horizontal="center" vertical="top"/>
    </xf>
    <xf numFmtId="164" fontId="0" fillId="0" borderId="0" xfId="1" applyNumberFormat="1" applyFont="1" applyFill="1"/>
    <xf numFmtId="164" fontId="3" fillId="0" borderId="0" xfId="1" applyNumberFormat="1" applyFont="1" applyFill="1" applyBorder="1"/>
    <xf numFmtId="0" fontId="2" fillId="0" borderId="1" xfId="0" applyFont="1" applyBorder="1" applyAlignment="1">
      <alignment horizontal="center" vertical="top"/>
    </xf>
    <xf numFmtId="10" fontId="3" fillId="0" borderId="0" xfId="2"/>
  </cellXfs>
  <cellStyles count="5">
    <cellStyle name="Comma" xfId="1" builtinId="3"/>
    <cellStyle name="Normal" xfId="0" builtinId="0"/>
    <cellStyle name="Normal 2 2" xfId="3" xr:uid="{C9EC77B5-2E04-4D3B-B472-57C77E786B18}"/>
    <cellStyle name="Normal 3 3" xfId="4" xr:uid="{85775F60-16C4-44F8-AC2C-31A54DB87FB1}"/>
    <cellStyle name="percent_style" xfId="2" xr:uid="{AFC5FB1A-0523-48D5-8053-BEA355069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BE85-0D50-4263-ABC5-0A71F572A4D6}">
  <dimension ref="A1:H65"/>
  <sheetViews>
    <sheetView tabSelected="1" workbookViewId="0">
      <selection activeCell="P6" sqref="P6"/>
    </sheetView>
  </sheetViews>
  <sheetFormatPr defaultColWidth="5.26953125" defaultRowHeight="14.5" x14ac:dyDescent="0.35"/>
  <cols>
    <col min="1" max="1" width="6.81640625" style="2" bestFit="1" customWidth="1"/>
    <col min="2" max="4" width="7.7265625" style="2" bestFit="1" customWidth="1"/>
    <col min="5" max="5" width="17.36328125" style="2" bestFit="1" customWidth="1"/>
    <col min="6" max="6" width="20.90625" style="2" bestFit="1" customWidth="1"/>
    <col min="7" max="7" width="14.1796875" style="2" bestFit="1" customWidth="1"/>
    <col min="8" max="8" width="7.54296875" style="2" bestFit="1" customWidth="1"/>
    <col min="9" max="16384" width="5.269531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3">
        <v>3</v>
      </c>
      <c r="G2" s="3">
        <v>1</v>
      </c>
      <c r="H2" s="3">
        <f>SUM(B2:G2)</f>
        <v>4</v>
      </c>
    </row>
    <row r="3" spans="1:8" x14ac:dyDescent="0.35">
      <c r="A3" s="2" t="s">
        <v>10</v>
      </c>
      <c r="B3" s="3">
        <v>265</v>
      </c>
      <c r="C3" s="3">
        <v>22</v>
      </c>
      <c r="D3" s="3">
        <v>99</v>
      </c>
      <c r="E3" s="3">
        <v>5736</v>
      </c>
      <c r="F3" s="3">
        <v>5</v>
      </c>
      <c r="G3" s="3">
        <v>346</v>
      </c>
      <c r="H3" s="3">
        <f t="shared" ref="H3:H62" si="0">SUM(B3:G3)</f>
        <v>6473</v>
      </c>
    </row>
    <row r="4" spans="1:8" x14ac:dyDescent="0.35">
      <c r="A4" s="2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3">
        <v>0</v>
      </c>
      <c r="H4" s="3">
        <f t="shared" si="0"/>
        <v>0</v>
      </c>
    </row>
    <row r="5" spans="1:8" x14ac:dyDescent="0.35">
      <c r="A5" s="2" t="s">
        <v>12</v>
      </c>
      <c r="B5" s="2" t="s">
        <v>9</v>
      </c>
      <c r="C5" s="2" t="s">
        <v>9</v>
      </c>
      <c r="D5" s="2" t="s">
        <v>9</v>
      </c>
      <c r="E5" s="3">
        <v>1</v>
      </c>
      <c r="F5" s="2" t="s">
        <v>9</v>
      </c>
      <c r="G5" s="3">
        <v>0</v>
      </c>
      <c r="H5" s="3">
        <f t="shared" si="0"/>
        <v>1</v>
      </c>
    </row>
    <row r="6" spans="1:8" x14ac:dyDescent="0.35">
      <c r="A6" s="2" t="s">
        <v>13</v>
      </c>
      <c r="B6" s="3">
        <v>0</v>
      </c>
      <c r="C6" s="3">
        <v>0</v>
      </c>
      <c r="D6" s="3">
        <v>3</v>
      </c>
      <c r="E6" s="3">
        <v>395</v>
      </c>
      <c r="F6" s="3">
        <v>0</v>
      </c>
      <c r="G6" s="3">
        <v>0</v>
      </c>
      <c r="H6" s="3">
        <f t="shared" si="0"/>
        <v>398</v>
      </c>
    </row>
    <row r="7" spans="1:8" x14ac:dyDescent="0.35">
      <c r="A7" s="2" t="s">
        <v>14</v>
      </c>
      <c r="B7" s="3">
        <v>0</v>
      </c>
      <c r="C7" s="2" t="s">
        <v>9</v>
      </c>
      <c r="D7" s="2" t="s">
        <v>9</v>
      </c>
      <c r="E7" s="3">
        <v>77</v>
      </c>
      <c r="F7" s="2" t="s">
        <v>9</v>
      </c>
      <c r="G7" s="3">
        <v>0</v>
      </c>
      <c r="H7" s="3">
        <f t="shared" si="0"/>
        <v>77</v>
      </c>
    </row>
    <row r="8" spans="1:8" x14ac:dyDescent="0.35">
      <c r="A8" s="2" t="s">
        <v>15</v>
      </c>
      <c r="B8" s="2" t="s">
        <v>9</v>
      </c>
      <c r="C8" s="2" t="s">
        <v>9</v>
      </c>
      <c r="D8" s="2" t="s">
        <v>9</v>
      </c>
      <c r="E8" s="3">
        <v>2</v>
      </c>
      <c r="F8" s="3">
        <v>0</v>
      </c>
      <c r="G8" s="3">
        <v>10</v>
      </c>
      <c r="H8" s="3">
        <f t="shared" si="0"/>
        <v>12</v>
      </c>
    </row>
    <row r="9" spans="1:8" x14ac:dyDescent="0.35">
      <c r="A9" s="2" t="s">
        <v>16</v>
      </c>
      <c r="B9" s="3">
        <v>0</v>
      </c>
      <c r="C9" s="3">
        <v>0</v>
      </c>
      <c r="D9" s="3">
        <v>50</v>
      </c>
      <c r="E9" s="3">
        <v>716</v>
      </c>
      <c r="F9" s="3">
        <v>20</v>
      </c>
      <c r="G9" s="3">
        <v>250</v>
      </c>
      <c r="H9" s="3">
        <f t="shared" si="0"/>
        <v>1036</v>
      </c>
    </row>
    <row r="10" spans="1:8" x14ac:dyDescent="0.35">
      <c r="A10" s="2" t="s">
        <v>17</v>
      </c>
      <c r="B10" s="2" t="s">
        <v>9</v>
      </c>
      <c r="C10" s="2" t="s">
        <v>9</v>
      </c>
      <c r="D10" s="3">
        <v>19</v>
      </c>
      <c r="E10" s="3">
        <v>242</v>
      </c>
      <c r="F10" s="3">
        <v>1</v>
      </c>
      <c r="G10" s="3">
        <v>18</v>
      </c>
      <c r="H10" s="3">
        <f t="shared" si="0"/>
        <v>280</v>
      </c>
    </row>
    <row r="11" spans="1:8" x14ac:dyDescent="0.35">
      <c r="A11" s="2" t="s">
        <v>18</v>
      </c>
      <c r="B11" s="2" t="s">
        <v>9</v>
      </c>
      <c r="C11" s="2" t="s">
        <v>9</v>
      </c>
      <c r="D11" s="2" t="s">
        <v>9</v>
      </c>
      <c r="E11" s="2" t="s">
        <v>9</v>
      </c>
      <c r="F11" s="3">
        <v>0</v>
      </c>
      <c r="G11" s="3">
        <v>0</v>
      </c>
      <c r="H11" s="3">
        <f t="shared" si="0"/>
        <v>0</v>
      </c>
    </row>
    <row r="12" spans="1:8" x14ac:dyDescent="0.35">
      <c r="A12" s="2" t="s">
        <v>19</v>
      </c>
      <c r="B12" s="3">
        <v>0</v>
      </c>
      <c r="C12" s="2" t="s">
        <v>9</v>
      </c>
      <c r="D12" s="3">
        <v>0</v>
      </c>
      <c r="E12" s="2" t="s">
        <v>9</v>
      </c>
      <c r="F12" s="2" t="s">
        <v>9</v>
      </c>
      <c r="G12" s="2" t="s">
        <v>9</v>
      </c>
      <c r="H12" s="3">
        <f t="shared" si="0"/>
        <v>0</v>
      </c>
    </row>
    <row r="13" spans="1:8" x14ac:dyDescent="0.35">
      <c r="A13" s="2" t="s">
        <v>20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3">
        <v>0</v>
      </c>
      <c r="H13" s="3">
        <f t="shared" si="0"/>
        <v>0</v>
      </c>
    </row>
    <row r="14" spans="1:8" x14ac:dyDescent="0.35">
      <c r="A14" s="2" t="s">
        <v>21</v>
      </c>
      <c r="B14" s="3">
        <v>0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3">
        <f t="shared" si="0"/>
        <v>0</v>
      </c>
    </row>
    <row r="15" spans="1:8" x14ac:dyDescent="0.35">
      <c r="A15" s="2" t="s">
        <v>22</v>
      </c>
      <c r="B15" s="2" t="s">
        <v>9</v>
      </c>
      <c r="C15" s="2" t="s">
        <v>9</v>
      </c>
      <c r="D15" s="3">
        <v>2</v>
      </c>
      <c r="E15" s="3">
        <v>6</v>
      </c>
      <c r="F15" s="3">
        <v>2</v>
      </c>
      <c r="G15" s="3">
        <v>23</v>
      </c>
      <c r="H15" s="3">
        <f t="shared" si="0"/>
        <v>33</v>
      </c>
    </row>
    <row r="16" spans="1:8" x14ac:dyDescent="0.35">
      <c r="A16" s="2" t="s">
        <v>23</v>
      </c>
      <c r="B16" s="2" t="s">
        <v>9</v>
      </c>
      <c r="C16" s="2" t="s">
        <v>9</v>
      </c>
      <c r="D16" s="2" t="s">
        <v>9</v>
      </c>
      <c r="E16" s="3">
        <v>0</v>
      </c>
      <c r="F16" s="3">
        <v>1</v>
      </c>
      <c r="G16" s="3">
        <v>6</v>
      </c>
      <c r="H16" s="3">
        <f t="shared" si="0"/>
        <v>7</v>
      </c>
    </row>
    <row r="17" spans="1:8" x14ac:dyDescent="0.35">
      <c r="A17" s="2" t="s">
        <v>24</v>
      </c>
      <c r="B17" s="2" t="s">
        <v>9</v>
      </c>
      <c r="C17" s="2" t="s">
        <v>9</v>
      </c>
      <c r="D17" s="3">
        <v>0</v>
      </c>
      <c r="E17" s="2" t="s">
        <v>9</v>
      </c>
      <c r="F17" s="3">
        <v>6</v>
      </c>
      <c r="G17" s="3">
        <v>20</v>
      </c>
      <c r="H17" s="3">
        <f t="shared" si="0"/>
        <v>26</v>
      </c>
    </row>
    <row r="18" spans="1:8" x14ac:dyDescent="0.35">
      <c r="A18" s="2" t="s">
        <v>25</v>
      </c>
      <c r="B18" s="3">
        <v>313</v>
      </c>
      <c r="C18" s="3">
        <v>0</v>
      </c>
      <c r="D18" s="3">
        <v>0</v>
      </c>
      <c r="E18" s="3">
        <v>2</v>
      </c>
      <c r="F18" s="2" t="s">
        <v>9</v>
      </c>
      <c r="G18" s="3">
        <v>0</v>
      </c>
      <c r="H18" s="3">
        <f t="shared" si="0"/>
        <v>315</v>
      </c>
    </row>
    <row r="19" spans="1:8" x14ac:dyDescent="0.35">
      <c r="A19" s="2" t="s">
        <v>26</v>
      </c>
      <c r="B19" s="3">
        <v>0</v>
      </c>
      <c r="C19" s="3">
        <v>0</v>
      </c>
      <c r="D19" s="2" t="s">
        <v>9</v>
      </c>
      <c r="E19" s="3">
        <v>0</v>
      </c>
      <c r="F19" s="2" t="s">
        <v>9</v>
      </c>
      <c r="G19" s="2" t="s">
        <v>9</v>
      </c>
      <c r="H19" s="3">
        <f t="shared" si="0"/>
        <v>0</v>
      </c>
    </row>
    <row r="20" spans="1:8" x14ac:dyDescent="0.35">
      <c r="A20" s="2" t="s">
        <v>27</v>
      </c>
      <c r="B20" s="2" t="s">
        <v>9</v>
      </c>
      <c r="C20" s="2" t="s">
        <v>9</v>
      </c>
      <c r="D20" s="2" t="s">
        <v>9</v>
      </c>
      <c r="E20" s="3">
        <v>0</v>
      </c>
      <c r="F20" s="3">
        <v>37</v>
      </c>
      <c r="G20" s="3">
        <v>74</v>
      </c>
      <c r="H20" s="3">
        <f t="shared" si="0"/>
        <v>111</v>
      </c>
    </row>
    <row r="21" spans="1:8" x14ac:dyDescent="0.35">
      <c r="A21" s="2" t="s">
        <v>28</v>
      </c>
      <c r="B21" s="2" t="s">
        <v>9</v>
      </c>
      <c r="C21" s="2" t="s">
        <v>9</v>
      </c>
      <c r="D21" s="2" t="s">
        <v>9</v>
      </c>
      <c r="E21" s="3">
        <v>5</v>
      </c>
      <c r="F21" s="3">
        <v>964</v>
      </c>
      <c r="G21" s="3">
        <v>65</v>
      </c>
      <c r="H21" s="3">
        <f t="shared" si="0"/>
        <v>1034</v>
      </c>
    </row>
    <row r="22" spans="1:8" x14ac:dyDescent="0.35">
      <c r="A22" s="2" t="s">
        <v>29</v>
      </c>
      <c r="B22" s="2" t="s">
        <v>9</v>
      </c>
      <c r="C22" s="2" t="s">
        <v>9</v>
      </c>
      <c r="D22" s="2" t="s">
        <v>9</v>
      </c>
      <c r="E22" s="3">
        <v>0</v>
      </c>
      <c r="F22" s="3">
        <v>4</v>
      </c>
      <c r="G22" s="3">
        <v>4</v>
      </c>
      <c r="H22" s="3">
        <f t="shared" si="0"/>
        <v>8</v>
      </c>
    </row>
    <row r="23" spans="1:8" x14ac:dyDescent="0.35">
      <c r="A23" s="2" t="s">
        <v>30</v>
      </c>
      <c r="B23" s="3">
        <v>0</v>
      </c>
      <c r="C23" s="3">
        <v>0</v>
      </c>
      <c r="D23" s="3">
        <v>57</v>
      </c>
      <c r="E23" s="3">
        <v>2262</v>
      </c>
      <c r="F23" s="3">
        <v>17</v>
      </c>
      <c r="G23" s="3">
        <v>102</v>
      </c>
      <c r="H23" s="3">
        <f t="shared" si="0"/>
        <v>2438</v>
      </c>
    </row>
    <row r="24" spans="1:8" x14ac:dyDescent="0.35">
      <c r="A24" s="2" t="s">
        <v>31</v>
      </c>
      <c r="B24" s="2" t="s">
        <v>9</v>
      </c>
      <c r="C24" s="2" t="s">
        <v>9</v>
      </c>
      <c r="D24" s="2" t="s">
        <v>9</v>
      </c>
      <c r="E24" s="3">
        <v>1</v>
      </c>
      <c r="F24" s="3">
        <v>6</v>
      </c>
      <c r="G24" s="3">
        <v>11</v>
      </c>
      <c r="H24" s="3">
        <f t="shared" si="0"/>
        <v>18</v>
      </c>
    </row>
    <row r="25" spans="1:8" x14ac:dyDescent="0.35">
      <c r="A25" s="2" t="s">
        <v>32</v>
      </c>
      <c r="B25" s="2" t="s">
        <v>9</v>
      </c>
      <c r="C25" s="2" t="s">
        <v>9</v>
      </c>
      <c r="D25" s="2" t="s">
        <v>9</v>
      </c>
      <c r="E25" s="3">
        <v>0</v>
      </c>
      <c r="F25" s="3">
        <v>2</v>
      </c>
      <c r="G25" s="3">
        <v>6</v>
      </c>
      <c r="H25" s="3">
        <f t="shared" si="0"/>
        <v>8</v>
      </c>
    </row>
    <row r="26" spans="1:8" x14ac:dyDescent="0.35">
      <c r="A26" s="2" t="s">
        <v>33</v>
      </c>
      <c r="B26" s="3">
        <v>0</v>
      </c>
      <c r="C26" s="2" t="s">
        <v>9</v>
      </c>
      <c r="D26" s="3">
        <v>0</v>
      </c>
      <c r="E26" s="2" t="s">
        <v>9</v>
      </c>
      <c r="F26" s="2" t="s">
        <v>9</v>
      </c>
      <c r="G26" s="2" t="s">
        <v>9</v>
      </c>
      <c r="H26" s="3">
        <f t="shared" si="0"/>
        <v>0</v>
      </c>
    </row>
    <row r="27" spans="1:8" x14ac:dyDescent="0.35">
      <c r="A27" s="2" t="s">
        <v>34</v>
      </c>
      <c r="B27" s="2" t="s">
        <v>9</v>
      </c>
      <c r="C27" s="2" t="s">
        <v>9</v>
      </c>
      <c r="D27" s="2" t="s">
        <v>9</v>
      </c>
      <c r="E27" s="3">
        <v>7</v>
      </c>
      <c r="F27" s="3">
        <v>6</v>
      </c>
      <c r="G27" s="3">
        <v>7</v>
      </c>
      <c r="H27" s="3">
        <f t="shared" si="0"/>
        <v>20</v>
      </c>
    </row>
    <row r="28" spans="1:8" x14ac:dyDescent="0.35">
      <c r="A28" s="2" t="s">
        <v>35</v>
      </c>
      <c r="B28" s="3">
        <v>0</v>
      </c>
      <c r="C28" s="3">
        <v>9</v>
      </c>
      <c r="D28" s="3">
        <v>12</v>
      </c>
      <c r="E28" s="3">
        <v>133</v>
      </c>
      <c r="F28" s="3">
        <v>3</v>
      </c>
      <c r="G28" s="3">
        <v>9</v>
      </c>
      <c r="H28" s="3">
        <f t="shared" si="0"/>
        <v>166</v>
      </c>
    </row>
    <row r="29" spans="1:8" x14ac:dyDescent="0.35">
      <c r="A29" s="2" t="s">
        <v>36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3">
        <v>0</v>
      </c>
      <c r="H29" s="3">
        <f t="shared" si="0"/>
        <v>0</v>
      </c>
    </row>
    <row r="30" spans="1:8" x14ac:dyDescent="0.35">
      <c r="A30" s="2" t="s">
        <v>37</v>
      </c>
      <c r="B30" s="2" t="s">
        <v>9</v>
      </c>
      <c r="C30" s="2" t="s">
        <v>9</v>
      </c>
      <c r="D30" s="3">
        <v>6</v>
      </c>
      <c r="E30" s="3">
        <v>36</v>
      </c>
      <c r="F30" s="3">
        <v>12</v>
      </c>
      <c r="G30" s="3">
        <v>43</v>
      </c>
      <c r="H30" s="3">
        <f t="shared" si="0"/>
        <v>97</v>
      </c>
    </row>
    <row r="31" spans="1:8" x14ac:dyDescent="0.35">
      <c r="A31" s="2" t="s">
        <v>38</v>
      </c>
      <c r="B31" s="3">
        <v>0</v>
      </c>
      <c r="C31" s="2" t="s">
        <v>9</v>
      </c>
      <c r="D31" s="2" t="s">
        <v>9</v>
      </c>
      <c r="E31" s="3">
        <v>1</v>
      </c>
      <c r="F31" s="3">
        <v>0</v>
      </c>
      <c r="G31" s="3">
        <v>3</v>
      </c>
      <c r="H31" s="3">
        <f t="shared" si="0"/>
        <v>4</v>
      </c>
    </row>
    <row r="32" spans="1:8" x14ac:dyDescent="0.35">
      <c r="A32" s="2" t="s">
        <v>39</v>
      </c>
      <c r="B32" s="2" t="s">
        <v>9</v>
      </c>
      <c r="C32" s="2" t="s">
        <v>9</v>
      </c>
      <c r="D32" s="2" t="s">
        <v>9</v>
      </c>
      <c r="E32" s="3">
        <v>10</v>
      </c>
      <c r="F32" s="3">
        <v>1</v>
      </c>
      <c r="G32" s="3">
        <v>1</v>
      </c>
      <c r="H32" s="3">
        <f t="shared" si="0"/>
        <v>12</v>
      </c>
    </row>
    <row r="33" spans="1:8" x14ac:dyDescent="0.35">
      <c r="A33" s="2" t="s">
        <v>40</v>
      </c>
      <c r="B33" s="3">
        <v>0</v>
      </c>
      <c r="C33" s="2" t="s">
        <v>9</v>
      </c>
      <c r="D33" s="2" t="s">
        <v>9</v>
      </c>
      <c r="E33" s="3">
        <v>19</v>
      </c>
      <c r="F33" s="2" t="s">
        <v>9</v>
      </c>
      <c r="G33" s="3">
        <v>0</v>
      </c>
      <c r="H33" s="3">
        <f t="shared" si="0"/>
        <v>19</v>
      </c>
    </row>
    <row r="34" spans="1:8" x14ac:dyDescent="0.35">
      <c r="A34" s="2" t="s">
        <v>41</v>
      </c>
      <c r="B34" s="3">
        <v>28</v>
      </c>
      <c r="C34" s="3">
        <v>0</v>
      </c>
      <c r="D34" s="2" t="s">
        <v>9</v>
      </c>
      <c r="E34" s="3">
        <v>110</v>
      </c>
      <c r="F34" s="3">
        <v>0</v>
      </c>
      <c r="G34" s="3">
        <v>2</v>
      </c>
      <c r="H34" s="3">
        <f t="shared" si="0"/>
        <v>140</v>
      </c>
    </row>
    <row r="35" spans="1:8" x14ac:dyDescent="0.35">
      <c r="A35" s="2" t="s">
        <v>42</v>
      </c>
      <c r="B35" s="3">
        <v>0</v>
      </c>
      <c r="C35" s="3">
        <v>0</v>
      </c>
      <c r="D35" s="3">
        <v>174</v>
      </c>
      <c r="E35" s="3">
        <v>991</v>
      </c>
      <c r="F35" s="3">
        <v>5</v>
      </c>
      <c r="G35" s="3">
        <v>86</v>
      </c>
      <c r="H35" s="3">
        <f t="shared" si="0"/>
        <v>1256</v>
      </c>
    </row>
    <row r="36" spans="1:8" x14ac:dyDescent="0.35">
      <c r="A36" s="2" t="s">
        <v>43</v>
      </c>
      <c r="B36" s="2" t="s">
        <v>9</v>
      </c>
      <c r="C36" s="2" t="s">
        <v>9</v>
      </c>
      <c r="D36" s="3">
        <v>48</v>
      </c>
      <c r="E36" s="3">
        <v>87</v>
      </c>
      <c r="F36" s="3">
        <v>2528</v>
      </c>
      <c r="G36" s="3">
        <v>4046</v>
      </c>
      <c r="H36" s="3">
        <f t="shared" si="0"/>
        <v>6709</v>
      </c>
    </row>
    <row r="37" spans="1:8" x14ac:dyDescent="0.35">
      <c r="A37" s="2" t="s">
        <v>44</v>
      </c>
      <c r="B37" s="2" t="s">
        <v>9</v>
      </c>
      <c r="C37" s="2" t="s">
        <v>9</v>
      </c>
      <c r="D37" s="3">
        <v>3</v>
      </c>
      <c r="E37" s="3">
        <v>54</v>
      </c>
      <c r="F37" s="3">
        <v>0</v>
      </c>
      <c r="G37" s="3">
        <v>10</v>
      </c>
      <c r="H37" s="3">
        <f t="shared" si="0"/>
        <v>67</v>
      </c>
    </row>
    <row r="38" spans="1:8" x14ac:dyDescent="0.35">
      <c r="A38" s="2" t="s">
        <v>45</v>
      </c>
      <c r="B38" s="2" t="s">
        <v>9</v>
      </c>
      <c r="C38" s="2" t="s">
        <v>9</v>
      </c>
      <c r="D38" s="3">
        <v>101</v>
      </c>
      <c r="E38" s="3">
        <v>1</v>
      </c>
      <c r="F38" s="3">
        <v>126</v>
      </c>
      <c r="G38" s="3">
        <v>299</v>
      </c>
      <c r="H38" s="3">
        <f t="shared" si="0"/>
        <v>527</v>
      </c>
    </row>
    <row r="39" spans="1:8" x14ac:dyDescent="0.35">
      <c r="A39" s="2" t="s">
        <v>46</v>
      </c>
      <c r="B39" s="2" t="s">
        <v>9</v>
      </c>
      <c r="C39" s="2" t="s">
        <v>9</v>
      </c>
      <c r="D39" s="3">
        <v>117</v>
      </c>
      <c r="E39" s="3">
        <v>4</v>
      </c>
      <c r="F39" s="3">
        <v>258</v>
      </c>
      <c r="G39" s="3">
        <v>1094</v>
      </c>
      <c r="H39" s="3">
        <f t="shared" si="0"/>
        <v>1473</v>
      </c>
    </row>
    <row r="40" spans="1:8" x14ac:dyDescent="0.35">
      <c r="A40" s="2" t="s">
        <v>47</v>
      </c>
      <c r="B40" s="2" t="s">
        <v>9</v>
      </c>
      <c r="C40" s="2" t="s">
        <v>9</v>
      </c>
      <c r="D40" s="2" t="s">
        <v>9</v>
      </c>
      <c r="E40" s="3">
        <v>52</v>
      </c>
      <c r="F40" s="3">
        <v>1049</v>
      </c>
      <c r="G40" s="3">
        <v>1532</v>
      </c>
      <c r="H40" s="3">
        <f t="shared" si="0"/>
        <v>2633</v>
      </c>
    </row>
    <row r="41" spans="1:8" x14ac:dyDescent="0.35">
      <c r="A41" s="2" t="s">
        <v>48</v>
      </c>
      <c r="B41" s="3">
        <v>0</v>
      </c>
      <c r="C41" s="3">
        <v>0</v>
      </c>
      <c r="D41" s="2" t="s">
        <v>9</v>
      </c>
      <c r="E41" s="3">
        <v>0</v>
      </c>
      <c r="F41" s="2" t="s">
        <v>9</v>
      </c>
      <c r="G41" s="2" t="s">
        <v>9</v>
      </c>
      <c r="H41" s="3">
        <f t="shared" si="0"/>
        <v>0</v>
      </c>
    </row>
    <row r="42" spans="1:8" x14ac:dyDescent="0.35">
      <c r="A42" s="2" t="s">
        <v>49</v>
      </c>
      <c r="B42" s="3">
        <v>0</v>
      </c>
      <c r="C42" s="2" t="s">
        <v>9</v>
      </c>
      <c r="D42" s="2" t="s">
        <v>9</v>
      </c>
      <c r="E42" s="3">
        <v>420</v>
      </c>
      <c r="F42" s="3">
        <v>15</v>
      </c>
      <c r="G42" s="3">
        <v>71</v>
      </c>
      <c r="H42" s="3">
        <f t="shared" si="0"/>
        <v>506</v>
      </c>
    </row>
    <row r="43" spans="1:8" x14ac:dyDescent="0.35">
      <c r="A43" s="2" t="s">
        <v>50</v>
      </c>
      <c r="B43" s="2" t="s">
        <v>9</v>
      </c>
      <c r="C43" s="2" t="s">
        <v>9</v>
      </c>
      <c r="D43" s="2" t="s">
        <v>9</v>
      </c>
      <c r="E43" s="3">
        <v>0</v>
      </c>
      <c r="F43" s="2" t="s">
        <v>9</v>
      </c>
      <c r="G43" s="3">
        <v>0</v>
      </c>
      <c r="H43" s="3">
        <f t="shared" si="0"/>
        <v>0</v>
      </c>
    </row>
    <row r="44" spans="1:8" x14ac:dyDescent="0.35">
      <c r="A44" s="2" t="s">
        <v>51</v>
      </c>
      <c r="B44" s="2" t="s">
        <v>9</v>
      </c>
      <c r="C44" s="2" t="s">
        <v>9</v>
      </c>
      <c r="D44" s="2" t="s">
        <v>9</v>
      </c>
      <c r="E44" s="3">
        <v>1</v>
      </c>
      <c r="F44" s="3">
        <v>1</v>
      </c>
      <c r="G44" s="3">
        <v>10</v>
      </c>
      <c r="H44" s="3">
        <f t="shared" si="0"/>
        <v>12</v>
      </c>
    </row>
    <row r="45" spans="1:8" x14ac:dyDescent="0.35">
      <c r="A45" s="2" t="s">
        <v>52</v>
      </c>
      <c r="B45" s="2" t="s">
        <v>9</v>
      </c>
      <c r="C45" s="2" t="s">
        <v>9</v>
      </c>
      <c r="D45" s="2" t="s">
        <v>9</v>
      </c>
      <c r="E45" s="3">
        <v>34</v>
      </c>
      <c r="F45" s="3">
        <v>10</v>
      </c>
      <c r="G45" s="3">
        <v>35</v>
      </c>
      <c r="H45" s="3">
        <f t="shared" si="0"/>
        <v>79</v>
      </c>
    </row>
    <row r="46" spans="1:8" x14ac:dyDescent="0.35">
      <c r="A46" s="2" t="s">
        <v>53</v>
      </c>
      <c r="B46" s="2" t="s">
        <v>9</v>
      </c>
      <c r="C46" s="2" t="s">
        <v>9</v>
      </c>
      <c r="D46" s="3">
        <v>0</v>
      </c>
      <c r="E46" s="3">
        <v>955</v>
      </c>
      <c r="F46" s="3">
        <v>1</v>
      </c>
      <c r="G46" s="3">
        <v>33</v>
      </c>
      <c r="H46" s="3">
        <f t="shared" si="0"/>
        <v>989</v>
      </c>
    </row>
    <row r="47" spans="1:8" x14ac:dyDescent="0.35">
      <c r="A47" s="2" t="s">
        <v>54</v>
      </c>
      <c r="B47" s="3">
        <v>0</v>
      </c>
      <c r="C47" s="2" t="s">
        <v>9</v>
      </c>
      <c r="D47" s="2" t="s">
        <v>9</v>
      </c>
      <c r="E47" s="2" t="s">
        <v>9</v>
      </c>
      <c r="F47" s="2" t="s">
        <v>9</v>
      </c>
      <c r="G47" s="2" t="s">
        <v>9</v>
      </c>
      <c r="H47" s="3">
        <f t="shared" si="0"/>
        <v>0</v>
      </c>
    </row>
    <row r="48" spans="1:8" x14ac:dyDescent="0.35">
      <c r="A48" s="2" t="s">
        <v>55</v>
      </c>
      <c r="B48" s="3">
        <v>0</v>
      </c>
      <c r="C48" s="2" t="s">
        <v>9</v>
      </c>
      <c r="D48" s="2" t="s">
        <v>9</v>
      </c>
      <c r="E48" s="3">
        <v>63</v>
      </c>
      <c r="F48" s="2" t="s">
        <v>9</v>
      </c>
      <c r="G48" s="3">
        <v>0</v>
      </c>
      <c r="H48" s="3">
        <f t="shared" si="0"/>
        <v>63</v>
      </c>
    </row>
    <row r="49" spans="1:8" x14ac:dyDescent="0.35">
      <c r="A49" s="2" t="s">
        <v>56</v>
      </c>
      <c r="B49" s="2" t="s">
        <v>9</v>
      </c>
      <c r="C49" s="2" t="s">
        <v>9</v>
      </c>
      <c r="D49" s="3">
        <v>379</v>
      </c>
      <c r="E49" s="3">
        <v>3</v>
      </c>
      <c r="F49" s="3">
        <v>402</v>
      </c>
      <c r="G49" s="3">
        <v>581</v>
      </c>
      <c r="H49" s="3">
        <f t="shared" si="0"/>
        <v>1365</v>
      </c>
    </row>
    <row r="50" spans="1:8" x14ac:dyDescent="0.35">
      <c r="A50" s="2" t="s">
        <v>57</v>
      </c>
      <c r="B50" s="3">
        <v>0</v>
      </c>
      <c r="C50" s="2" t="s">
        <v>9</v>
      </c>
      <c r="D50" s="3">
        <v>194</v>
      </c>
      <c r="E50" s="3">
        <v>198</v>
      </c>
      <c r="F50" s="3">
        <v>11</v>
      </c>
      <c r="G50" s="3">
        <v>69</v>
      </c>
      <c r="H50" s="3">
        <f t="shared" si="0"/>
        <v>472</v>
      </c>
    </row>
    <row r="51" spans="1:8" x14ac:dyDescent="0.35">
      <c r="A51" s="2" t="s">
        <v>58</v>
      </c>
      <c r="B51" s="2" t="s">
        <v>9</v>
      </c>
      <c r="C51" s="2" t="s">
        <v>9</v>
      </c>
      <c r="D51" s="3">
        <v>1</v>
      </c>
      <c r="E51" s="3">
        <v>1</v>
      </c>
      <c r="F51" s="3">
        <v>1</v>
      </c>
      <c r="G51" s="3">
        <v>12</v>
      </c>
      <c r="H51" s="3">
        <f t="shared" si="0"/>
        <v>15</v>
      </c>
    </row>
    <row r="52" spans="1:8" x14ac:dyDescent="0.35">
      <c r="A52" s="2" t="s">
        <v>59</v>
      </c>
      <c r="B52" s="2" t="s">
        <v>9</v>
      </c>
      <c r="C52" s="2" t="s">
        <v>9</v>
      </c>
      <c r="D52" s="2" t="s">
        <v>9</v>
      </c>
      <c r="E52" s="3">
        <v>0</v>
      </c>
      <c r="F52" s="2" t="s">
        <v>9</v>
      </c>
      <c r="G52" s="2" t="s">
        <v>9</v>
      </c>
      <c r="H52" s="3">
        <f t="shared" si="0"/>
        <v>0</v>
      </c>
    </row>
    <row r="53" spans="1:8" x14ac:dyDescent="0.35">
      <c r="A53" s="2" t="s">
        <v>60</v>
      </c>
      <c r="B53" s="3">
        <v>0</v>
      </c>
      <c r="C53" s="2" t="s">
        <v>9</v>
      </c>
      <c r="D53" s="3">
        <v>301</v>
      </c>
      <c r="E53" s="3">
        <v>373</v>
      </c>
      <c r="F53" s="3">
        <v>751</v>
      </c>
      <c r="G53" s="3">
        <v>1156</v>
      </c>
      <c r="H53" s="3">
        <f t="shared" si="0"/>
        <v>2581</v>
      </c>
    </row>
    <row r="54" spans="1:8" x14ac:dyDescent="0.35">
      <c r="A54" s="2" t="s">
        <v>61</v>
      </c>
      <c r="B54" s="2" t="s">
        <v>9</v>
      </c>
      <c r="C54" s="2" t="s">
        <v>9</v>
      </c>
      <c r="D54" s="3">
        <v>2</v>
      </c>
      <c r="E54" s="3">
        <v>0</v>
      </c>
      <c r="F54" s="3">
        <v>92</v>
      </c>
      <c r="G54" s="3">
        <v>82</v>
      </c>
      <c r="H54" s="3">
        <f t="shared" si="0"/>
        <v>176</v>
      </c>
    </row>
    <row r="55" spans="1:8" x14ac:dyDescent="0.35">
      <c r="A55" s="2" t="s">
        <v>62</v>
      </c>
      <c r="B55" s="3">
        <v>0</v>
      </c>
      <c r="C55" s="2" t="s">
        <v>9</v>
      </c>
      <c r="D55" s="2" t="s">
        <v>9</v>
      </c>
      <c r="E55" s="3">
        <v>38</v>
      </c>
      <c r="F55" s="2" t="s">
        <v>9</v>
      </c>
      <c r="G55" s="3">
        <v>0</v>
      </c>
      <c r="H55" s="3">
        <f t="shared" si="0"/>
        <v>38</v>
      </c>
    </row>
    <row r="56" spans="1:8" x14ac:dyDescent="0.35">
      <c r="A56" s="2" t="s">
        <v>63</v>
      </c>
      <c r="B56" s="2" t="s">
        <v>9</v>
      </c>
      <c r="C56" s="2" t="s">
        <v>9</v>
      </c>
      <c r="D56" s="2" t="s">
        <v>9</v>
      </c>
      <c r="E56" s="3">
        <v>79</v>
      </c>
      <c r="F56" s="3">
        <v>1453</v>
      </c>
      <c r="G56" s="3">
        <v>3805</v>
      </c>
      <c r="H56" s="3">
        <f t="shared" si="0"/>
        <v>5337</v>
      </c>
    </row>
    <row r="57" spans="1:8" x14ac:dyDescent="0.35">
      <c r="A57" s="2" t="s">
        <v>64</v>
      </c>
      <c r="B57" s="2" t="s">
        <v>9</v>
      </c>
      <c r="C57" s="2" t="s">
        <v>9</v>
      </c>
      <c r="D57" s="3">
        <v>0</v>
      </c>
      <c r="E57" s="3">
        <v>0</v>
      </c>
      <c r="F57" s="3">
        <v>0</v>
      </c>
      <c r="G57" s="3">
        <v>2</v>
      </c>
      <c r="H57" s="3">
        <f t="shared" si="0"/>
        <v>2</v>
      </c>
    </row>
    <row r="58" spans="1:8" x14ac:dyDescent="0.35">
      <c r="A58" s="2" t="s">
        <v>65</v>
      </c>
      <c r="B58" s="2" t="s">
        <v>9</v>
      </c>
      <c r="C58" s="2" t="s">
        <v>9</v>
      </c>
      <c r="D58" s="2" t="s">
        <v>9</v>
      </c>
      <c r="E58" s="3">
        <v>3</v>
      </c>
      <c r="F58" s="3">
        <v>18</v>
      </c>
      <c r="G58" s="3">
        <v>32</v>
      </c>
      <c r="H58" s="3">
        <f t="shared" si="0"/>
        <v>53</v>
      </c>
    </row>
    <row r="59" spans="1:8" x14ac:dyDescent="0.35">
      <c r="A59" s="2" t="s">
        <v>66</v>
      </c>
      <c r="B59" s="2" t="s">
        <v>9</v>
      </c>
      <c r="C59" s="2" t="s">
        <v>9</v>
      </c>
      <c r="D59" s="2" t="s">
        <v>9</v>
      </c>
      <c r="E59" s="3">
        <v>20</v>
      </c>
      <c r="F59" s="2" t="s">
        <v>9</v>
      </c>
      <c r="G59" s="3">
        <v>0</v>
      </c>
      <c r="H59" s="3">
        <f t="shared" si="0"/>
        <v>20</v>
      </c>
    </row>
    <row r="60" spans="1:8" x14ac:dyDescent="0.35">
      <c r="A60" s="2" t="s">
        <v>67</v>
      </c>
      <c r="B60" s="3">
        <v>0</v>
      </c>
      <c r="C60" s="3">
        <v>0</v>
      </c>
      <c r="D60" s="3">
        <v>42</v>
      </c>
      <c r="E60" s="3">
        <v>98</v>
      </c>
      <c r="F60" s="3">
        <v>0</v>
      </c>
      <c r="G60" s="3">
        <v>12</v>
      </c>
      <c r="H60" s="3">
        <f t="shared" si="0"/>
        <v>152</v>
      </c>
    </row>
    <row r="61" spans="1:8" x14ac:dyDescent="0.35">
      <c r="A61" s="2" t="s">
        <v>68</v>
      </c>
      <c r="B61" s="3">
        <v>0</v>
      </c>
      <c r="C61" s="3">
        <v>0</v>
      </c>
      <c r="D61" s="3">
        <v>0</v>
      </c>
      <c r="E61" s="3">
        <v>103</v>
      </c>
      <c r="F61" s="3">
        <v>2</v>
      </c>
      <c r="G61" s="3">
        <v>25</v>
      </c>
      <c r="H61" s="3">
        <f t="shared" si="0"/>
        <v>130</v>
      </c>
    </row>
    <row r="62" spans="1:8" x14ac:dyDescent="0.35">
      <c r="A62" s="2" t="s">
        <v>69</v>
      </c>
      <c r="B62" s="2" t="s">
        <v>9</v>
      </c>
      <c r="C62" s="2" t="s">
        <v>9</v>
      </c>
      <c r="D62" s="3">
        <v>6</v>
      </c>
      <c r="E62" s="3">
        <v>3</v>
      </c>
      <c r="F62" s="3">
        <v>81</v>
      </c>
      <c r="G62" s="3">
        <v>119</v>
      </c>
      <c r="H62" s="3">
        <f t="shared" si="0"/>
        <v>209</v>
      </c>
    </row>
    <row r="63" spans="1:8" x14ac:dyDescent="0.35">
      <c r="A63" s="2" t="s">
        <v>7</v>
      </c>
      <c r="B63" s="3">
        <f t="shared" ref="B63:G63" si="1">SUM(B2:B62)</f>
        <v>606</v>
      </c>
      <c r="C63" s="3">
        <f t="shared" si="1"/>
        <v>31</v>
      </c>
      <c r="D63" s="3">
        <f t="shared" si="1"/>
        <v>1616</v>
      </c>
      <c r="E63" s="3">
        <f t="shared" si="1"/>
        <v>13342</v>
      </c>
      <c r="F63" s="3">
        <f t="shared" si="1"/>
        <v>7894</v>
      </c>
      <c r="G63" s="3">
        <f t="shared" si="1"/>
        <v>14112</v>
      </c>
      <c r="H63" s="3">
        <f>SUM(H2:H62)</f>
        <v>37601</v>
      </c>
    </row>
    <row r="65" spans="1:8" x14ac:dyDescent="0.35">
      <c r="A65" s="2" t="s">
        <v>70</v>
      </c>
      <c r="B65" s="2">
        <f>COUNT(B2:B62)</f>
        <v>24</v>
      </c>
      <c r="C65" s="2">
        <f t="shared" ref="C65:H65" si="2">COUNT(C2:C62)</f>
        <v>12</v>
      </c>
      <c r="D65" s="2">
        <f t="shared" si="2"/>
        <v>27</v>
      </c>
      <c r="E65" s="2">
        <f t="shared" si="2"/>
        <v>51</v>
      </c>
      <c r="F65" s="2">
        <f t="shared" si="2"/>
        <v>43</v>
      </c>
      <c r="G65" s="2">
        <f t="shared" si="2"/>
        <v>54</v>
      </c>
      <c r="H65" s="2">
        <f t="shared" si="2"/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621-0252-4C0C-AA93-85019CCFA933}">
  <dimension ref="A1:H66"/>
  <sheetViews>
    <sheetView workbookViewId="0">
      <selection activeCell="L7" sqref="L7"/>
    </sheetView>
  </sheetViews>
  <sheetFormatPr defaultRowHeight="14.5" x14ac:dyDescent="0.35"/>
  <cols>
    <col min="1" max="1" width="13.6328125" bestFit="1" customWidth="1"/>
    <col min="2" max="2" width="6.81640625" bestFit="1" customWidth="1"/>
    <col min="3" max="3" width="6.453125" bestFit="1" customWidth="1"/>
    <col min="4" max="4" width="7.81640625" bestFit="1" customWidth="1"/>
    <col min="5" max="5" width="16" bestFit="1" customWidth="1"/>
    <col min="6" max="6" width="19.6328125" bestFit="1" customWidth="1"/>
    <col min="7" max="7" width="12.90625" bestFit="1" customWidth="1"/>
    <col min="8" max="8" width="7.81640625" bestFit="1" customWidth="1"/>
  </cols>
  <sheetData>
    <row r="1" spans="1:8" x14ac:dyDescent="0.35">
      <c r="A1" s="4" t="s">
        <v>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t="s">
        <v>39</v>
      </c>
      <c r="B2" s="5" t="s">
        <v>9</v>
      </c>
      <c r="C2" s="5" t="s">
        <v>9</v>
      </c>
      <c r="D2" s="5" t="s">
        <v>9</v>
      </c>
      <c r="E2" s="5">
        <v>0.26117000000000001</v>
      </c>
      <c r="F2" s="5">
        <v>8.4140000000000006E-2</v>
      </c>
      <c r="G2" s="5">
        <v>1.643E-2</v>
      </c>
      <c r="H2" s="5">
        <v>0.10453</v>
      </c>
    </row>
    <row r="3" spans="1:8" x14ac:dyDescent="0.35">
      <c r="A3" t="s">
        <v>12</v>
      </c>
      <c r="B3" s="5" t="s">
        <v>9</v>
      </c>
      <c r="C3" s="5" t="s">
        <v>9</v>
      </c>
      <c r="D3" s="5" t="s">
        <v>9</v>
      </c>
      <c r="E3" s="5">
        <v>0.77581999999999995</v>
      </c>
      <c r="F3" s="5" t="s">
        <v>9</v>
      </c>
      <c r="G3" s="5">
        <v>7.1319999999999995E-2</v>
      </c>
      <c r="H3" s="5">
        <v>0.19441</v>
      </c>
    </row>
    <row r="4" spans="1:8" x14ac:dyDescent="0.35">
      <c r="A4" t="s">
        <v>17</v>
      </c>
      <c r="B4" s="5" t="s">
        <v>9</v>
      </c>
      <c r="C4" s="5" t="s">
        <v>9</v>
      </c>
      <c r="D4" s="5">
        <v>5.77E-3</v>
      </c>
      <c r="E4" s="5">
        <v>0.24740999999999999</v>
      </c>
      <c r="F4" s="5">
        <v>8.9770000000000003E-2</v>
      </c>
      <c r="G4" s="5">
        <v>4.156E-2</v>
      </c>
      <c r="H4" s="5">
        <v>6.0040000000000003E-2</v>
      </c>
    </row>
    <row r="5" spans="1:8" x14ac:dyDescent="0.35">
      <c r="A5" t="s">
        <v>21</v>
      </c>
      <c r="B5" s="5">
        <v>0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>
        <v>0</v>
      </c>
    </row>
    <row r="6" spans="1:8" x14ac:dyDescent="0.35">
      <c r="A6" t="s">
        <v>64</v>
      </c>
      <c r="B6" s="5" t="s">
        <v>9</v>
      </c>
      <c r="C6" s="5" t="s">
        <v>9</v>
      </c>
      <c r="D6" s="5">
        <v>1</v>
      </c>
      <c r="E6" s="5">
        <v>0</v>
      </c>
      <c r="F6" s="5">
        <v>3.6089999999999997E-2</v>
      </c>
      <c r="G6" s="5">
        <v>4.8379999999999999E-2</v>
      </c>
      <c r="H6" s="5">
        <v>4.6949999999999999E-2</v>
      </c>
    </row>
    <row r="7" spans="1:8" x14ac:dyDescent="0.35">
      <c r="A7" t="s">
        <v>19</v>
      </c>
      <c r="B7" s="5">
        <v>0</v>
      </c>
      <c r="C7" s="5" t="s">
        <v>9</v>
      </c>
      <c r="D7" s="5">
        <v>0</v>
      </c>
      <c r="E7" s="5" t="s">
        <v>9</v>
      </c>
      <c r="F7" s="5" t="s">
        <v>9</v>
      </c>
      <c r="G7" s="5" t="s">
        <v>9</v>
      </c>
      <c r="H7" s="5">
        <v>0</v>
      </c>
    </row>
    <row r="8" spans="1:8" x14ac:dyDescent="0.35">
      <c r="A8" t="s">
        <v>49</v>
      </c>
      <c r="B8" s="5">
        <v>0</v>
      </c>
      <c r="C8" s="5" t="s">
        <v>9</v>
      </c>
      <c r="D8" s="5" t="s">
        <v>9</v>
      </c>
      <c r="E8" s="5">
        <v>0.32844000000000001</v>
      </c>
      <c r="F8" s="5">
        <v>0.14807000000000001</v>
      </c>
      <c r="G8" s="5">
        <v>4.709E-2</v>
      </c>
      <c r="H8" s="5">
        <v>0.17412</v>
      </c>
    </row>
    <row r="9" spans="1:8" x14ac:dyDescent="0.35">
      <c r="A9" t="s">
        <v>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>
        <v>1</v>
      </c>
      <c r="H9" s="5">
        <v>1</v>
      </c>
    </row>
    <row r="10" spans="1:8" x14ac:dyDescent="0.35">
      <c r="A10" t="s">
        <v>48</v>
      </c>
      <c r="B10" s="5">
        <v>0</v>
      </c>
      <c r="C10" s="5">
        <v>0</v>
      </c>
      <c r="D10" s="5" t="s">
        <v>9</v>
      </c>
      <c r="E10" s="5">
        <v>0</v>
      </c>
      <c r="F10" s="5" t="s">
        <v>9</v>
      </c>
      <c r="G10" s="5" t="s">
        <v>9</v>
      </c>
      <c r="H10" s="5">
        <v>0</v>
      </c>
    </row>
    <row r="11" spans="1:8" x14ac:dyDescent="0.35">
      <c r="A11" t="s">
        <v>46</v>
      </c>
      <c r="B11" s="5" t="s">
        <v>9</v>
      </c>
      <c r="C11" s="5" t="s">
        <v>9</v>
      </c>
      <c r="D11" s="5">
        <v>1.11E-2</v>
      </c>
      <c r="E11" s="5">
        <v>0.31220999999999999</v>
      </c>
      <c r="F11" s="5">
        <v>6.7659999999999998E-2</v>
      </c>
      <c r="G11" s="5">
        <v>0.11865000000000001</v>
      </c>
      <c r="H11" s="5">
        <v>6.2399999999999997E-2</v>
      </c>
    </row>
    <row r="12" spans="1:8" x14ac:dyDescent="0.35">
      <c r="A12" t="s">
        <v>58</v>
      </c>
      <c r="B12" s="5" t="s">
        <v>9</v>
      </c>
      <c r="C12" s="5" t="s">
        <v>9</v>
      </c>
      <c r="D12" s="5">
        <v>4.308E-2</v>
      </c>
      <c r="E12" s="5">
        <v>0.12715000000000001</v>
      </c>
      <c r="F12" s="5">
        <v>8.9940000000000006E-2</v>
      </c>
      <c r="G12" s="5">
        <v>0.10463</v>
      </c>
      <c r="H12" s="5">
        <v>9.1749999999999998E-2</v>
      </c>
    </row>
    <row r="13" spans="1:8" x14ac:dyDescent="0.35">
      <c r="A13" t="s">
        <v>16</v>
      </c>
      <c r="B13" s="5">
        <v>0</v>
      </c>
      <c r="C13" s="5">
        <v>0</v>
      </c>
      <c r="D13" s="5">
        <v>1.159E-2</v>
      </c>
      <c r="E13" s="5">
        <v>0.27573999999999999</v>
      </c>
      <c r="F13" s="5">
        <v>7.9369999999999996E-2</v>
      </c>
      <c r="G13" s="5">
        <v>6.268E-2</v>
      </c>
      <c r="H13" s="5">
        <v>7.4609999999999996E-2</v>
      </c>
    </row>
    <row r="14" spans="1:8" x14ac:dyDescent="0.35">
      <c r="A14" t="s">
        <v>69</v>
      </c>
      <c r="B14" s="5" t="s">
        <v>9</v>
      </c>
      <c r="C14" s="5" t="s">
        <v>9</v>
      </c>
      <c r="D14" s="5">
        <v>1.5900000000000001E-3</v>
      </c>
      <c r="E14" s="5">
        <v>0.52649999999999997</v>
      </c>
      <c r="F14" s="5">
        <v>0.33499000000000001</v>
      </c>
      <c r="G14" s="5">
        <v>0.26924999999999999</v>
      </c>
      <c r="H14" s="5">
        <v>4.4240000000000002E-2</v>
      </c>
    </row>
    <row r="15" spans="1:8" x14ac:dyDescent="0.35">
      <c r="A15" t="s">
        <v>55</v>
      </c>
      <c r="B15" s="5">
        <v>0</v>
      </c>
      <c r="C15" s="5" t="s">
        <v>9</v>
      </c>
      <c r="D15" s="5" t="s">
        <v>9</v>
      </c>
      <c r="E15" s="5">
        <v>0.12191</v>
      </c>
      <c r="F15" s="5" t="s">
        <v>9</v>
      </c>
      <c r="G15" s="5">
        <v>0</v>
      </c>
      <c r="H15" s="5">
        <v>9.35E-2</v>
      </c>
    </row>
    <row r="16" spans="1:8" x14ac:dyDescent="0.35">
      <c r="A16" t="s">
        <v>29</v>
      </c>
      <c r="B16" s="5" t="s">
        <v>9</v>
      </c>
      <c r="C16" s="5" t="s">
        <v>9</v>
      </c>
      <c r="D16" s="5" t="s">
        <v>9</v>
      </c>
      <c r="E16" s="5">
        <v>0</v>
      </c>
      <c r="F16" s="5">
        <v>2.0590000000000001E-2</v>
      </c>
      <c r="G16" s="5">
        <v>3.2390000000000002E-2</v>
      </c>
      <c r="H16" s="5">
        <v>2.5170000000000001E-2</v>
      </c>
    </row>
    <row r="17" spans="1:8" x14ac:dyDescent="0.35">
      <c r="A17" t="s">
        <v>61</v>
      </c>
      <c r="B17" s="5" t="s">
        <v>9</v>
      </c>
      <c r="C17" s="5" t="s">
        <v>9</v>
      </c>
      <c r="D17" s="5">
        <v>3.022E-2</v>
      </c>
      <c r="E17" s="5">
        <v>0</v>
      </c>
      <c r="F17" s="5">
        <v>5.6980000000000003E-2</v>
      </c>
      <c r="G17" s="5">
        <v>5.901E-2</v>
      </c>
      <c r="H17" s="5">
        <v>5.713E-2</v>
      </c>
    </row>
    <row r="18" spans="1:8" x14ac:dyDescent="0.35">
      <c r="A18" t="s">
        <v>51</v>
      </c>
      <c r="B18" s="5" t="s">
        <v>9</v>
      </c>
      <c r="C18" s="5" t="s">
        <v>9</v>
      </c>
      <c r="D18" s="5" t="s">
        <v>9</v>
      </c>
      <c r="E18" s="5">
        <v>0.19664999999999999</v>
      </c>
      <c r="F18" s="5">
        <v>0.17041000000000001</v>
      </c>
      <c r="G18" s="5">
        <v>8.319E-2</v>
      </c>
      <c r="H18" s="5">
        <v>9.3429999999999999E-2</v>
      </c>
    </row>
    <row r="19" spans="1:8" x14ac:dyDescent="0.35">
      <c r="A19" t="s">
        <v>38</v>
      </c>
      <c r="B19" s="5">
        <v>0</v>
      </c>
      <c r="C19" s="5" t="s">
        <v>9</v>
      </c>
      <c r="D19" s="5" t="s">
        <v>9</v>
      </c>
      <c r="E19" s="5">
        <v>1</v>
      </c>
      <c r="F19" s="5">
        <v>1</v>
      </c>
      <c r="G19" s="5">
        <v>0.91744000000000003</v>
      </c>
      <c r="H19" s="5">
        <v>0.94803000000000004</v>
      </c>
    </row>
    <row r="20" spans="1:8" x14ac:dyDescent="0.35">
      <c r="A20" t="s">
        <v>63</v>
      </c>
      <c r="B20" s="5" t="s">
        <v>9</v>
      </c>
      <c r="C20" s="5" t="s">
        <v>9</v>
      </c>
      <c r="D20" s="5" t="s">
        <v>9</v>
      </c>
      <c r="E20" s="5">
        <v>0.33241999999999999</v>
      </c>
      <c r="F20" s="5">
        <v>3.9690000000000003E-2</v>
      </c>
      <c r="G20" s="5">
        <v>0.12454</v>
      </c>
      <c r="H20" s="5">
        <v>7.9200000000000007E-2</v>
      </c>
    </row>
    <row r="21" spans="1:8" x14ac:dyDescent="0.35">
      <c r="A21" t="s">
        <v>34</v>
      </c>
      <c r="B21" s="5" t="s">
        <v>9</v>
      </c>
      <c r="C21" s="5" t="s">
        <v>9</v>
      </c>
      <c r="D21" s="5" t="s">
        <v>9</v>
      </c>
      <c r="E21" s="5">
        <v>1</v>
      </c>
      <c r="F21" s="5">
        <v>5.2440000000000001E-2</v>
      </c>
      <c r="G21" s="5">
        <v>7.8920000000000004E-2</v>
      </c>
      <c r="H21" s="5">
        <v>9.5479999999999995E-2</v>
      </c>
    </row>
    <row r="22" spans="1:8" x14ac:dyDescent="0.35">
      <c r="A22" t="s">
        <v>11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>
        <v>1</v>
      </c>
      <c r="H22" s="5">
        <v>1</v>
      </c>
    </row>
    <row r="23" spans="1:8" x14ac:dyDescent="0.35">
      <c r="A23" t="s">
        <v>42</v>
      </c>
      <c r="B23" s="5">
        <v>0</v>
      </c>
      <c r="C23" s="5">
        <v>0</v>
      </c>
      <c r="D23" s="5">
        <v>4.3900000000000002E-2</v>
      </c>
      <c r="E23" s="5">
        <v>8.4390000000000007E-2</v>
      </c>
      <c r="F23" s="5">
        <v>0.11607000000000001</v>
      </c>
      <c r="G23" s="5">
        <v>4.3099999999999999E-2</v>
      </c>
      <c r="H23" s="5">
        <v>3.3119999999999997E-2</v>
      </c>
    </row>
    <row r="24" spans="1:8" x14ac:dyDescent="0.35">
      <c r="A24" t="s">
        <v>52</v>
      </c>
      <c r="B24" s="5" t="s">
        <v>9</v>
      </c>
      <c r="C24" s="5" t="s">
        <v>9</v>
      </c>
      <c r="D24" s="5" t="s">
        <v>9</v>
      </c>
      <c r="E24" s="5">
        <v>0.11756999999999999</v>
      </c>
      <c r="F24" s="5">
        <v>2.3380000000000001E-2</v>
      </c>
      <c r="G24" s="5">
        <v>7.5789999999999996E-2</v>
      </c>
      <c r="H24" s="5">
        <v>6.6220000000000001E-2</v>
      </c>
    </row>
    <row r="25" spans="1:8" x14ac:dyDescent="0.35">
      <c r="A25" t="s">
        <v>50</v>
      </c>
      <c r="B25" s="5" t="s">
        <v>9</v>
      </c>
      <c r="C25" s="5" t="s">
        <v>9</v>
      </c>
      <c r="D25" s="5" t="s">
        <v>9</v>
      </c>
      <c r="E25" s="5">
        <v>0</v>
      </c>
      <c r="F25" s="5" t="s">
        <v>9</v>
      </c>
      <c r="G25" s="5">
        <v>0.47045999999999999</v>
      </c>
      <c r="H25" s="5">
        <v>0.21171000000000001</v>
      </c>
    </row>
    <row r="26" spans="1:8" x14ac:dyDescent="0.35">
      <c r="A26" t="s">
        <v>26</v>
      </c>
      <c r="B26" s="5">
        <v>0</v>
      </c>
      <c r="C26" s="5">
        <v>0</v>
      </c>
      <c r="D26" s="5" t="s">
        <v>9</v>
      </c>
      <c r="E26" s="5">
        <v>0</v>
      </c>
      <c r="F26" s="5" t="s">
        <v>9</v>
      </c>
      <c r="G26" s="5" t="s">
        <v>9</v>
      </c>
      <c r="H26" s="5">
        <v>0</v>
      </c>
    </row>
    <row r="27" spans="1:8" x14ac:dyDescent="0.35">
      <c r="A27" t="s">
        <v>24</v>
      </c>
      <c r="B27" s="5" t="s">
        <v>9</v>
      </c>
      <c r="C27" s="5" t="s">
        <v>9</v>
      </c>
      <c r="D27" s="5">
        <v>6.0000000000000002E-5</v>
      </c>
      <c r="E27" s="5" t="s">
        <v>9</v>
      </c>
      <c r="F27" s="5">
        <v>3.4869999999999998E-2</v>
      </c>
      <c r="G27" s="5">
        <v>8.2419999999999993E-2</v>
      </c>
      <c r="H27" s="5">
        <v>1.984E-2</v>
      </c>
    </row>
    <row r="28" spans="1:8" x14ac:dyDescent="0.35">
      <c r="A28" t="s">
        <v>31</v>
      </c>
      <c r="B28" s="5" t="s">
        <v>9</v>
      </c>
      <c r="C28" s="5" t="s">
        <v>9</v>
      </c>
      <c r="D28" s="5" t="s">
        <v>9</v>
      </c>
      <c r="E28" s="5">
        <v>0.30058000000000001</v>
      </c>
      <c r="F28" s="5">
        <v>0.19400999999999999</v>
      </c>
      <c r="G28" s="5">
        <v>0.31540000000000001</v>
      </c>
      <c r="H28" s="5">
        <v>0.25911000000000001</v>
      </c>
    </row>
    <row r="29" spans="1:8" x14ac:dyDescent="0.35">
      <c r="A29" t="s">
        <v>35</v>
      </c>
      <c r="B29" s="5">
        <v>0</v>
      </c>
      <c r="C29" s="5">
        <v>2.0990000000000002E-2</v>
      </c>
      <c r="D29" s="5">
        <v>0.11677999999999999</v>
      </c>
      <c r="E29" s="5">
        <v>0.10148</v>
      </c>
      <c r="F29" s="5">
        <v>0.58189999999999997</v>
      </c>
      <c r="G29" s="5">
        <v>3.9149999999999997E-2</v>
      </c>
      <c r="H29" s="5">
        <v>4.965E-2</v>
      </c>
    </row>
    <row r="30" spans="1:8" x14ac:dyDescent="0.35">
      <c r="A30" t="s">
        <v>67</v>
      </c>
      <c r="B30" s="5">
        <v>0</v>
      </c>
      <c r="C30" s="5">
        <v>0</v>
      </c>
      <c r="D30" s="5">
        <v>4.1459999999999997E-2</v>
      </c>
      <c r="E30" s="5">
        <v>0.20344999999999999</v>
      </c>
      <c r="F30" s="5">
        <v>0.63646999999999998</v>
      </c>
      <c r="G30" s="5">
        <v>6.9510000000000002E-2</v>
      </c>
      <c r="H30" s="5">
        <v>8.6230000000000001E-2</v>
      </c>
    </row>
    <row r="31" spans="1:8" x14ac:dyDescent="0.35">
      <c r="A31" t="s">
        <v>13</v>
      </c>
      <c r="B31" s="5">
        <v>0</v>
      </c>
      <c r="C31" s="5">
        <v>0</v>
      </c>
      <c r="D31" s="5">
        <v>6.4200000000000004E-3</v>
      </c>
      <c r="E31" s="5">
        <v>0.16414999999999999</v>
      </c>
      <c r="F31" s="5">
        <v>4.5809999999999997E-2</v>
      </c>
      <c r="G31" s="5">
        <v>5.0699999999999999E-3</v>
      </c>
      <c r="H31" s="5">
        <v>7.1239999999999998E-2</v>
      </c>
    </row>
    <row r="32" spans="1:8" x14ac:dyDescent="0.35">
      <c r="A32" t="s">
        <v>66</v>
      </c>
      <c r="B32" s="5" t="s">
        <v>9</v>
      </c>
      <c r="C32" s="5" t="s">
        <v>9</v>
      </c>
      <c r="D32" s="5" t="s">
        <v>9</v>
      </c>
      <c r="E32" s="5">
        <v>1</v>
      </c>
      <c r="F32" s="5" t="s">
        <v>9</v>
      </c>
      <c r="G32" s="5">
        <v>1</v>
      </c>
      <c r="H32" s="5">
        <v>1</v>
      </c>
    </row>
    <row r="33" spans="1:8" x14ac:dyDescent="0.35">
      <c r="A33" t="s">
        <v>14</v>
      </c>
      <c r="B33" s="5">
        <v>0</v>
      </c>
      <c r="C33" s="5" t="s">
        <v>9</v>
      </c>
      <c r="D33" s="5" t="s">
        <v>9</v>
      </c>
      <c r="E33" s="5">
        <v>0.13098000000000001</v>
      </c>
      <c r="F33" s="5" t="s">
        <v>9</v>
      </c>
      <c r="G33" s="5">
        <v>0.71350999999999998</v>
      </c>
      <c r="H33" s="5">
        <v>7.8780000000000003E-2</v>
      </c>
    </row>
    <row r="34" spans="1:8" x14ac:dyDescent="0.35">
      <c r="A34" t="s">
        <v>22</v>
      </c>
      <c r="B34" s="5" t="s">
        <v>9</v>
      </c>
      <c r="C34" s="5" t="s">
        <v>9</v>
      </c>
      <c r="D34" s="5">
        <v>1.234E-2</v>
      </c>
      <c r="E34" s="5">
        <v>0.29309000000000002</v>
      </c>
      <c r="F34" s="5">
        <v>9.4070000000000001E-2</v>
      </c>
      <c r="G34" s="5">
        <v>7.1230000000000002E-2</v>
      </c>
      <c r="H34" s="5">
        <v>6.515E-2</v>
      </c>
    </row>
    <row r="35" spans="1:8" x14ac:dyDescent="0.35">
      <c r="A35" t="s">
        <v>37</v>
      </c>
      <c r="B35" s="5" t="s">
        <v>9</v>
      </c>
      <c r="C35" s="5" t="s">
        <v>9</v>
      </c>
      <c r="D35" s="5">
        <v>1.257E-2</v>
      </c>
      <c r="E35" s="5">
        <v>0.18959999999999999</v>
      </c>
      <c r="F35" s="5">
        <v>8.5209999999999994E-2</v>
      </c>
      <c r="G35" s="5">
        <v>7.7229999999999993E-2</v>
      </c>
      <c r="H35" s="5">
        <v>7.1419999999999997E-2</v>
      </c>
    </row>
    <row r="36" spans="1:8" x14ac:dyDescent="0.35">
      <c r="A36" t="s">
        <v>33</v>
      </c>
      <c r="B36" s="5">
        <v>0</v>
      </c>
      <c r="C36" s="5" t="s">
        <v>9</v>
      </c>
      <c r="D36" s="5">
        <v>5.9999999999999995E-4</v>
      </c>
      <c r="E36" s="5" t="s">
        <v>9</v>
      </c>
      <c r="F36" s="5" t="s">
        <v>9</v>
      </c>
      <c r="G36" s="5" t="s">
        <v>9</v>
      </c>
      <c r="H36" s="5">
        <v>5.2999999999999998E-4</v>
      </c>
    </row>
    <row r="37" spans="1:8" x14ac:dyDescent="0.35">
      <c r="A37" t="s">
        <v>8</v>
      </c>
      <c r="B37" s="5" t="s">
        <v>9</v>
      </c>
      <c r="C37" s="5" t="s">
        <v>9</v>
      </c>
      <c r="D37" s="5" t="s">
        <v>9</v>
      </c>
      <c r="E37" s="5" t="s">
        <v>9</v>
      </c>
      <c r="F37" s="5">
        <v>6.8239999999999995E-2</v>
      </c>
      <c r="G37" s="5">
        <v>4.0329999999999998E-2</v>
      </c>
      <c r="H37" s="5">
        <v>5.6599999999999998E-2</v>
      </c>
    </row>
    <row r="38" spans="1:8" x14ac:dyDescent="0.35">
      <c r="A38" t="s">
        <v>65</v>
      </c>
      <c r="B38" s="5" t="s">
        <v>9</v>
      </c>
      <c r="C38" s="5" t="s">
        <v>9</v>
      </c>
      <c r="D38" s="5" t="s">
        <v>9</v>
      </c>
      <c r="E38" s="5">
        <v>0.54449000000000003</v>
      </c>
      <c r="F38" s="5">
        <v>9.9580000000000002E-2</v>
      </c>
      <c r="G38" s="5">
        <v>0.29487000000000002</v>
      </c>
      <c r="H38" s="5">
        <v>0.18021000000000001</v>
      </c>
    </row>
    <row r="39" spans="1:8" x14ac:dyDescent="0.35">
      <c r="A39" t="s">
        <v>56</v>
      </c>
      <c r="B39" s="5" t="s">
        <v>9</v>
      </c>
      <c r="C39" s="5" t="s">
        <v>9</v>
      </c>
      <c r="D39" s="5">
        <v>4.4380000000000003E-2</v>
      </c>
      <c r="E39" s="5">
        <v>0.1082</v>
      </c>
      <c r="F39" s="5">
        <v>0.24604999999999999</v>
      </c>
      <c r="G39" s="5">
        <v>7.8179999999999999E-2</v>
      </c>
      <c r="H39" s="5">
        <v>7.7399999999999997E-2</v>
      </c>
    </row>
    <row r="40" spans="1:8" x14ac:dyDescent="0.35">
      <c r="A40" t="s">
        <v>30</v>
      </c>
      <c r="B40" s="5">
        <v>0</v>
      </c>
      <c r="C40" s="5">
        <v>0</v>
      </c>
      <c r="D40" s="5">
        <v>1.8419999999999999E-2</v>
      </c>
      <c r="E40" s="5">
        <v>0.24460999999999999</v>
      </c>
      <c r="F40" s="5">
        <v>0.19952</v>
      </c>
      <c r="G40" s="5">
        <v>8.1559999999999994E-2</v>
      </c>
      <c r="H40" s="5">
        <v>0.12783</v>
      </c>
    </row>
    <row r="41" spans="1:8" x14ac:dyDescent="0.35">
      <c r="A41" t="s">
        <v>47</v>
      </c>
      <c r="B41" s="5" t="s">
        <v>9</v>
      </c>
      <c r="C41" s="5" t="s">
        <v>9</v>
      </c>
      <c r="D41" s="5" t="s">
        <v>9</v>
      </c>
      <c r="E41" s="5">
        <v>0.21609</v>
      </c>
      <c r="F41" s="5">
        <v>4.8800000000000003E-2</v>
      </c>
      <c r="G41" s="5">
        <v>0.11733</v>
      </c>
      <c r="H41" s="5">
        <v>7.5670000000000001E-2</v>
      </c>
    </row>
    <row r="42" spans="1:8" x14ac:dyDescent="0.35">
      <c r="A42" t="s">
        <v>68</v>
      </c>
      <c r="B42" s="5">
        <v>0</v>
      </c>
      <c r="C42" s="5">
        <v>0</v>
      </c>
      <c r="D42" s="5">
        <v>1</v>
      </c>
      <c r="E42" s="5">
        <v>4.9079999999999999E-2</v>
      </c>
      <c r="F42" s="5">
        <v>0.14532</v>
      </c>
      <c r="G42" s="5">
        <v>2.9350000000000001E-2</v>
      </c>
      <c r="H42" s="5">
        <v>2.162E-2</v>
      </c>
    </row>
    <row r="43" spans="1:8" x14ac:dyDescent="0.35">
      <c r="A43" t="s">
        <v>44</v>
      </c>
      <c r="B43" s="5" t="s">
        <v>9</v>
      </c>
      <c r="C43" s="5" t="s">
        <v>9</v>
      </c>
      <c r="D43" s="5">
        <v>0.99355000000000004</v>
      </c>
      <c r="E43" s="5">
        <v>0.67732999999999999</v>
      </c>
      <c r="F43" s="5">
        <v>0.49519000000000002</v>
      </c>
      <c r="G43" s="5">
        <v>0.26113999999999998</v>
      </c>
      <c r="H43" s="5">
        <v>0.55705000000000005</v>
      </c>
    </row>
    <row r="44" spans="1:8" x14ac:dyDescent="0.35">
      <c r="A44" t="s">
        <v>10</v>
      </c>
      <c r="B44" s="5">
        <v>2.2859999999999998E-2</v>
      </c>
      <c r="C44" s="5">
        <v>1.2449999999999999E-2</v>
      </c>
      <c r="D44" s="5">
        <v>1.8919999999999999E-2</v>
      </c>
      <c r="E44" s="5">
        <v>0.26971000000000001</v>
      </c>
      <c r="F44" s="5">
        <v>9.6079999999999999E-2</v>
      </c>
      <c r="G44" s="5">
        <v>6.8739999999999996E-2</v>
      </c>
      <c r="H44" s="5">
        <v>0.14399999999999999</v>
      </c>
    </row>
    <row r="45" spans="1:8" x14ac:dyDescent="0.35">
      <c r="A45" t="s">
        <v>53</v>
      </c>
      <c r="B45" s="5" t="s">
        <v>9</v>
      </c>
      <c r="C45" s="5" t="s">
        <v>9</v>
      </c>
      <c r="D45" s="5">
        <v>2.843E-2</v>
      </c>
      <c r="E45" s="5">
        <v>0.45254</v>
      </c>
      <c r="F45" s="5">
        <v>0.71048999999999995</v>
      </c>
      <c r="G45" s="5">
        <v>0.11006000000000001</v>
      </c>
      <c r="H45" s="5">
        <v>0.40901999999999999</v>
      </c>
    </row>
    <row r="46" spans="1:8" x14ac:dyDescent="0.35">
      <c r="A46" t="s">
        <v>62</v>
      </c>
      <c r="B46" s="5">
        <v>0</v>
      </c>
      <c r="C46" s="5" t="s">
        <v>9</v>
      </c>
      <c r="D46" s="5" t="s">
        <v>9</v>
      </c>
      <c r="E46" s="5">
        <v>0.57662999999999998</v>
      </c>
      <c r="F46" s="5" t="s">
        <v>9</v>
      </c>
      <c r="G46" s="5">
        <v>0.27759</v>
      </c>
      <c r="H46" s="5">
        <v>0.24782999999999999</v>
      </c>
    </row>
    <row r="47" spans="1:8" x14ac:dyDescent="0.35">
      <c r="A47" t="s">
        <v>45</v>
      </c>
      <c r="B47" s="5" t="s">
        <v>9</v>
      </c>
      <c r="C47" s="5" t="s">
        <v>9</v>
      </c>
      <c r="D47" s="5">
        <v>1.891E-2</v>
      </c>
      <c r="E47" s="5">
        <v>0.14396</v>
      </c>
      <c r="F47" s="5">
        <v>0.15853</v>
      </c>
      <c r="G47" s="5">
        <v>9.7720000000000001E-2</v>
      </c>
      <c r="H47" s="5">
        <v>5.7290000000000001E-2</v>
      </c>
    </row>
    <row r="48" spans="1:8" x14ac:dyDescent="0.35">
      <c r="A48" t="s">
        <v>27</v>
      </c>
      <c r="B48" s="5" t="s">
        <v>9</v>
      </c>
      <c r="C48" s="5" t="s">
        <v>9</v>
      </c>
      <c r="D48" s="5" t="s">
        <v>9</v>
      </c>
      <c r="E48" s="5">
        <v>0</v>
      </c>
      <c r="F48" s="5">
        <v>3.1649999999999998E-2</v>
      </c>
      <c r="G48" s="5">
        <v>8.8870000000000005E-2</v>
      </c>
      <c r="H48" s="5">
        <v>5.5500000000000001E-2</v>
      </c>
    </row>
    <row r="49" spans="1:8" x14ac:dyDescent="0.35">
      <c r="A49" t="s">
        <v>20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>
        <v>0</v>
      </c>
      <c r="H49" s="5">
        <v>0</v>
      </c>
    </row>
    <row r="50" spans="1:8" x14ac:dyDescent="0.35">
      <c r="A50" t="s">
        <v>60</v>
      </c>
      <c r="B50" s="5">
        <v>0</v>
      </c>
      <c r="C50" s="5" t="s">
        <v>9</v>
      </c>
      <c r="D50" s="5">
        <v>3.2050000000000002E-2</v>
      </c>
      <c r="E50" s="5">
        <v>0.35065000000000002</v>
      </c>
      <c r="F50" s="5">
        <v>0.17196</v>
      </c>
      <c r="G50" s="5">
        <v>9.9589999999999998E-2</v>
      </c>
      <c r="H50" s="5">
        <v>9.7259999999999999E-2</v>
      </c>
    </row>
    <row r="51" spans="1:8" x14ac:dyDescent="0.35">
      <c r="A51" t="s">
        <v>15</v>
      </c>
      <c r="B51" s="5" t="s">
        <v>9</v>
      </c>
      <c r="C51" s="5" t="s">
        <v>9</v>
      </c>
      <c r="D51" s="5" t="s">
        <v>9</v>
      </c>
      <c r="E51" s="5">
        <v>0.18729000000000001</v>
      </c>
      <c r="F51" s="5">
        <v>2.171E-2</v>
      </c>
      <c r="G51" s="5">
        <v>6.9239999999999996E-2</v>
      </c>
      <c r="H51" s="5">
        <v>7.0639999999999994E-2</v>
      </c>
    </row>
    <row r="52" spans="1:8" x14ac:dyDescent="0.35">
      <c r="A52" t="s">
        <v>54</v>
      </c>
      <c r="B52" s="5">
        <v>0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>
        <v>0</v>
      </c>
    </row>
    <row r="53" spans="1:8" x14ac:dyDescent="0.35">
      <c r="A53" t="s">
        <v>41</v>
      </c>
      <c r="B53" s="5">
        <v>2.5270000000000001E-2</v>
      </c>
      <c r="C53" s="5">
        <v>0</v>
      </c>
      <c r="D53" s="5" t="s">
        <v>9</v>
      </c>
      <c r="E53" s="5">
        <v>4.6890000000000001E-2</v>
      </c>
      <c r="F53" s="5">
        <v>4.5999999999999999E-3</v>
      </c>
      <c r="G53" s="5">
        <v>9.1500000000000001E-3</v>
      </c>
      <c r="H53" s="5">
        <v>3.5540000000000002E-2</v>
      </c>
    </row>
    <row r="54" spans="1:8" x14ac:dyDescent="0.35">
      <c r="A54" t="s">
        <v>59</v>
      </c>
      <c r="B54" s="5" t="s">
        <v>9</v>
      </c>
      <c r="C54" s="5" t="s">
        <v>9</v>
      </c>
      <c r="D54" s="5" t="s">
        <v>9</v>
      </c>
      <c r="E54" s="5">
        <v>0</v>
      </c>
      <c r="F54" s="5" t="s">
        <v>9</v>
      </c>
      <c r="G54" s="5" t="s">
        <v>9</v>
      </c>
      <c r="H54" s="5">
        <v>0</v>
      </c>
    </row>
    <row r="55" spans="1:8" x14ac:dyDescent="0.35">
      <c r="A55" t="s">
        <v>25</v>
      </c>
      <c r="B55" s="5">
        <v>0.13109999999999999</v>
      </c>
      <c r="C55" s="5">
        <v>0</v>
      </c>
      <c r="D55" s="5">
        <v>0</v>
      </c>
      <c r="E55" s="5">
        <v>2.5400000000000002E-3</v>
      </c>
      <c r="F55" s="5" t="s">
        <v>9</v>
      </c>
      <c r="G55" s="5">
        <v>0</v>
      </c>
      <c r="H55" s="5">
        <v>8.4229999999999999E-2</v>
      </c>
    </row>
    <row r="56" spans="1:8" x14ac:dyDescent="0.35">
      <c r="A56" t="s">
        <v>28</v>
      </c>
      <c r="B56" s="5" t="s">
        <v>9</v>
      </c>
      <c r="C56" s="5" t="s">
        <v>9</v>
      </c>
      <c r="D56" s="5" t="s">
        <v>9</v>
      </c>
      <c r="E56" s="5">
        <v>0.93835000000000002</v>
      </c>
      <c r="F56" s="5">
        <v>0.70699999999999996</v>
      </c>
      <c r="G56" s="5">
        <v>8.6150000000000004E-2</v>
      </c>
      <c r="H56" s="5">
        <v>0.48587999999999998</v>
      </c>
    </row>
    <row r="57" spans="1:8" x14ac:dyDescent="0.35">
      <c r="A57" t="s">
        <v>23</v>
      </c>
      <c r="B57" s="5" t="s">
        <v>9</v>
      </c>
      <c r="C57" s="5" t="s">
        <v>9</v>
      </c>
      <c r="D57" s="5" t="s">
        <v>9</v>
      </c>
      <c r="E57" s="5">
        <v>0.49217</v>
      </c>
      <c r="F57" s="5">
        <v>0.26419999999999999</v>
      </c>
      <c r="G57" s="5">
        <v>0.13375000000000001</v>
      </c>
      <c r="H57" s="5">
        <v>0.1464</v>
      </c>
    </row>
    <row r="58" spans="1:8" x14ac:dyDescent="0.35">
      <c r="A58" t="s">
        <v>40</v>
      </c>
      <c r="B58" s="5">
        <v>0</v>
      </c>
      <c r="C58" s="5" t="s">
        <v>9</v>
      </c>
      <c r="D58" s="5" t="s">
        <v>9</v>
      </c>
      <c r="E58" s="5">
        <v>1</v>
      </c>
      <c r="F58" s="5" t="s">
        <v>9</v>
      </c>
      <c r="G58" s="5">
        <v>0.12163</v>
      </c>
      <c r="H58" s="5">
        <v>0.93562999999999996</v>
      </c>
    </row>
    <row r="59" spans="1:8" x14ac:dyDescent="0.35">
      <c r="A59" t="s">
        <v>57</v>
      </c>
      <c r="B59" s="5">
        <v>0</v>
      </c>
      <c r="C59" s="5" t="s">
        <v>9</v>
      </c>
      <c r="D59" s="5">
        <v>0.11451</v>
      </c>
      <c r="E59" s="5">
        <v>0.59401999999999999</v>
      </c>
      <c r="F59" s="5">
        <v>0.56274000000000002</v>
      </c>
      <c r="G59" s="5">
        <v>0.24129999999999999</v>
      </c>
      <c r="H59" s="5">
        <v>0.19832</v>
      </c>
    </row>
    <row r="60" spans="1:8" x14ac:dyDescent="0.35">
      <c r="A60" t="s">
        <v>43</v>
      </c>
      <c r="B60" s="5" t="s">
        <v>9</v>
      </c>
      <c r="C60" s="5" t="s">
        <v>9</v>
      </c>
      <c r="D60" s="5">
        <v>1.6900000000000001E-3</v>
      </c>
      <c r="E60" s="5">
        <v>0.50390000000000001</v>
      </c>
      <c r="F60" s="5">
        <v>0.17344999999999999</v>
      </c>
      <c r="G60" s="5">
        <v>0.13375999999999999</v>
      </c>
      <c r="H60" s="5">
        <v>9.1230000000000006E-2</v>
      </c>
    </row>
    <row r="61" spans="1:8" x14ac:dyDescent="0.35">
      <c r="A61" t="s">
        <v>32</v>
      </c>
      <c r="B61" s="5" t="s">
        <v>9</v>
      </c>
      <c r="C61" s="5" t="s">
        <v>9</v>
      </c>
      <c r="D61" s="5" t="s">
        <v>9</v>
      </c>
      <c r="E61" s="5">
        <v>1</v>
      </c>
      <c r="F61" s="5">
        <v>0.89117000000000002</v>
      </c>
      <c r="G61" s="5">
        <v>0.91957</v>
      </c>
      <c r="H61" s="5">
        <v>0.91756000000000004</v>
      </c>
    </row>
    <row r="62" spans="1:8" x14ac:dyDescent="0.35">
      <c r="A62" t="s">
        <v>18</v>
      </c>
      <c r="B62" s="5" t="s">
        <v>9</v>
      </c>
      <c r="C62" s="5" t="s">
        <v>9</v>
      </c>
      <c r="D62" s="5" t="s">
        <v>9</v>
      </c>
      <c r="E62" s="5" t="s">
        <v>9</v>
      </c>
      <c r="F62" s="5">
        <v>1</v>
      </c>
      <c r="G62" s="5">
        <v>0.70440000000000003</v>
      </c>
      <c r="H62" s="5">
        <v>0.76649999999999996</v>
      </c>
    </row>
    <row r="63" spans="1:8" x14ac:dyDescent="0.35">
      <c r="A63" t="s">
        <v>7</v>
      </c>
      <c r="B63" s="5">
        <v>1.295E-2</v>
      </c>
      <c r="C63" s="5">
        <v>3.3600000000000001E-3</v>
      </c>
      <c r="D63" s="5">
        <v>1.7590000000000001E-2</v>
      </c>
      <c r="E63" s="5">
        <v>0.21218999999999999</v>
      </c>
      <c r="F63" s="5">
        <v>8.8050000000000003E-2</v>
      </c>
      <c r="G63" s="5">
        <v>0.11070000000000001</v>
      </c>
      <c r="H63" s="5">
        <v>8.7873999999999994E-2</v>
      </c>
    </row>
    <row r="65" spans="1:8" s="2" customFormat="1" x14ac:dyDescent="0.35">
      <c r="A65" s="2" t="s">
        <v>70</v>
      </c>
      <c r="B65" s="2">
        <f t="shared" ref="B65:H65" si="0">COUNT(B2:B62)</f>
        <v>24</v>
      </c>
      <c r="C65" s="2">
        <f t="shared" si="0"/>
        <v>12</v>
      </c>
      <c r="D65" s="2">
        <f t="shared" si="0"/>
        <v>27</v>
      </c>
      <c r="E65" s="2">
        <f t="shared" si="0"/>
        <v>51</v>
      </c>
      <c r="F65" s="2">
        <f t="shared" si="0"/>
        <v>43</v>
      </c>
      <c r="G65" s="2">
        <f t="shared" si="0"/>
        <v>54</v>
      </c>
      <c r="H65" s="2">
        <f t="shared" si="0"/>
        <v>61</v>
      </c>
    </row>
    <row r="66" spans="1:8" x14ac:dyDescent="0.35">
      <c r="A66" t="s">
        <v>72</v>
      </c>
      <c r="B66">
        <f>'AQ At Risk GWh PAFA'!B65</f>
        <v>24</v>
      </c>
      <c r="C66">
        <f>'AQ At Risk GWh PAFA'!C65</f>
        <v>12</v>
      </c>
      <c r="D66">
        <f>'AQ At Risk GWh PAFA'!D65</f>
        <v>27</v>
      </c>
      <c r="E66">
        <f>'AQ At Risk GWh PAFA'!E65</f>
        <v>51</v>
      </c>
      <c r="F66">
        <f>'AQ At Risk GWh PAFA'!F65</f>
        <v>43</v>
      </c>
      <c r="G66">
        <f>'AQ At Risk GWh PAFA'!G65</f>
        <v>54</v>
      </c>
      <c r="H66">
        <f>'AQ At Risk GWh PAFA'!H65</f>
        <v>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9552B7-8DF9-46E7-AA42-3AFA7EF053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D20EA5-EABF-4568-9EF1-3774AD3A8E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B46F7-5489-4E86-B9A9-5918B8F449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15ada0-b103-4cf7-b287-99a4608b2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AQ At Risk GWh PAFA</vt:lpstr>
      <vt:lpstr>Percentage Overdue PAFA</vt:lpstr>
    </vt:vector>
  </TitlesOfParts>
  <Company>Correla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Fiona Cottam</dc:creator>
  <cp:lastModifiedBy>Helen BEVAN</cp:lastModifiedBy>
  <dcterms:created xsi:type="dcterms:W3CDTF">2026-04-02T15:49:14Z</dcterms:created>
  <dcterms:modified xsi:type="dcterms:W3CDTF">2026-05-07T14:52:40Z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